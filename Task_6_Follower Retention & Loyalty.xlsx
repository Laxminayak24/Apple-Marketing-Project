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axmi\OneDrive\Internshala\Project\Apple Marketing Project\"/>
    </mc:Choice>
  </mc:AlternateContent>
  <xr:revisionPtr revIDLastSave="0" documentId="13_ncr:1_{70971DE6-280A-48D3-807E-423407A455DC}" xr6:coauthVersionLast="47" xr6:coauthVersionMax="47" xr10:uidLastSave="{00000000-0000-0000-0000-000000000000}"/>
  <bookViews>
    <workbookView xWindow="-108" yWindow="-108" windowWidth="23256" windowHeight="12456" xr2:uid="{95BED89A-7979-465F-913F-37249D64D1B3}"/>
  </bookViews>
  <sheets>
    <sheet name="Engagement_Clean1 (2)" sheetId="6" r:id="rId1"/>
    <sheet name="Posts_clean (2)" sheetId="2" r:id="rId2"/>
    <sheet name="Campaign_clean" sheetId="4" r:id="rId3"/>
    <sheet name="Engagement_Clean1" sheetId="3" r:id="rId4"/>
    <sheet name="Ad Spend vs Follower Growth" sheetId="8" r:id="rId5"/>
    <sheet name="weekly follower growth" sheetId="5" r:id="rId6"/>
    <sheet name="Peak Week of Follower Gain" sheetId="1" r:id="rId7"/>
    <sheet name="Moving_Avg" sheetId="7" r:id="rId8"/>
    <sheet name="Insights" sheetId="9" r:id="rId9"/>
  </sheets>
  <definedNames>
    <definedName name="_xlnm._FilterDatabase" localSheetId="4" hidden="1">'Ad Spend vs Follower Growth'!$A$1:$A$201</definedName>
    <definedName name="_xlnm._FilterDatabase" localSheetId="7" hidden="1">Moving_Avg!$A$1:$C$201</definedName>
    <definedName name="_xlchart.v1.0" hidden="1">'Ad Spend vs Follower Growth'!$A$2:$A$201</definedName>
    <definedName name="_xlchart.v1.1" hidden="1">'Ad Spend vs Follower Growth'!$B$1</definedName>
    <definedName name="_xlchart.v1.2" hidden="1">'Ad Spend vs Follower Growth'!$B$2:$B$201</definedName>
    <definedName name="_xlchart.v1.3" hidden="1">Moving_Avg!$A$2:$A$201</definedName>
    <definedName name="_xlchart.v1.4" hidden="1">Moving_Avg!$B$1</definedName>
    <definedName name="_xlchart.v1.5" hidden="1">Moving_Avg!$B$2:$B$201</definedName>
    <definedName name="_xlchart.v1.6" hidden="1">Moving_Avg!$C$1</definedName>
    <definedName name="_xlchart.v1.7" hidden="1">Moving_Avg!$C$2:$C$201</definedName>
    <definedName name="ExternalData_1" localSheetId="1" hidden="1">'Posts_clean (2)'!$A$1:$N$268</definedName>
    <definedName name="ExternalData_3" localSheetId="2" hidden="1">Campaign_clean!$A$1:$G$6</definedName>
    <definedName name="ExternalData_5" localSheetId="3" hidden="1">Engagement_Clean1!$A$1:$I$201</definedName>
    <definedName name="ExternalData_5" localSheetId="0" hidden="1">'Engagement_Clean1 (2)'!$A$1:$I$201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2" i="7" l="1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K12" i="6"/>
  <c r="O268" i="2"/>
  <c r="G268" i="2"/>
  <c r="O267" i="2"/>
  <c r="G267" i="2"/>
  <c r="O266" i="2"/>
  <c r="G266" i="2"/>
  <c r="O265" i="2"/>
  <c r="G265" i="2"/>
  <c r="O264" i="2"/>
  <c r="G264" i="2"/>
  <c r="O263" i="2"/>
  <c r="G263" i="2"/>
  <c r="O262" i="2"/>
  <c r="G262" i="2"/>
  <c r="O261" i="2"/>
  <c r="G261" i="2"/>
  <c r="O260" i="2"/>
  <c r="G260" i="2"/>
  <c r="O259" i="2"/>
  <c r="G259" i="2"/>
  <c r="O258" i="2"/>
  <c r="G258" i="2"/>
  <c r="O257" i="2"/>
  <c r="G257" i="2"/>
  <c r="O256" i="2"/>
  <c r="G256" i="2"/>
  <c r="O255" i="2"/>
  <c r="G255" i="2"/>
  <c r="O254" i="2"/>
  <c r="G254" i="2"/>
  <c r="O253" i="2"/>
  <c r="G253" i="2"/>
  <c r="O252" i="2"/>
  <c r="G252" i="2"/>
  <c r="O251" i="2"/>
  <c r="G251" i="2"/>
  <c r="O250" i="2"/>
  <c r="G250" i="2"/>
  <c r="O249" i="2"/>
  <c r="G249" i="2"/>
  <c r="O248" i="2"/>
  <c r="G248" i="2"/>
  <c r="O247" i="2"/>
  <c r="G247" i="2"/>
  <c r="O246" i="2"/>
  <c r="G246" i="2"/>
  <c r="O245" i="2"/>
  <c r="G245" i="2"/>
  <c r="O244" i="2"/>
  <c r="G244" i="2"/>
  <c r="O243" i="2"/>
  <c r="G243" i="2"/>
  <c r="O242" i="2"/>
  <c r="G242" i="2"/>
  <c r="O241" i="2"/>
  <c r="G241" i="2"/>
  <c r="O240" i="2"/>
  <c r="G240" i="2"/>
  <c r="O239" i="2"/>
  <c r="G239" i="2"/>
  <c r="O238" i="2"/>
  <c r="G238" i="2"/>
  <c r="O237" i="2"/>
  <c r="G237" i="2"/>
  <c r="O236" i="2"/>
  <c r="G236" i="2"/>
  <c r="O235" i="2"/>
  <c r="G235" i="2"/>
  <c r="O234" i="2"/>
  <c r="G234" i="2"/>
  <c r="O233" i="2"/>
  <c r="G233" i="2"/>
  <c r="O232" i="2"/>
  <c r="G232" i="2"/>
  <c r="O231" i="2"/>
  <c r="G231" i="2"/>
  <c r="O230" i="2"/>
  <c r="G230" i="2"/>
  <c r="O229" i="2"/>
  <c r="G229" i="2"/>
  <c r="O228" i="2"/>
  <c r="G228" i="2"/>
  <c r="O227" i="2"/>
  <c r="G227" i="2"/>
  <c r="O226" i="2"/>
  <c r="G226" i="2"/>
  <c r="O225" i="2"/>
  <c r="G225" i="2"/>
  <c r="O224" i="2"/>
  <c r="G224" i="2"/>
  <c r="O223" i="2"/>
  <c r="G223" i="2"/>
  <c r="O222" i="2"/>
  <c r="G222" i="2"/>
  <c r="O221" i="2"/>
  <c r="G221" i="2"/>
  <c r="O220" i="2"/>
  <c r="G220" i="2"/>
  <c r="O219" i="2"/>
  <c r="G219" i="2"/>
  <c r="O218" i="2"/>
  <c r="G218" i="2"/>
  <c r="O217" i="2"/>
  <c r="G217" i="2"/>
  <c r="O216" i="2"/>
  <c r="G216" i="2"/>
  <c r="O215" i="2"/>
  <c r="G215" i="2"/>
  <c r="O214" i="2"/>
  <c r="G214" i="2"/>
  <c r="O213" i="2"/>
  <c r="G213" i="2"/>
  <c r="O212" i="2"/>
  <c r="G212" i="2"/>
  <c r="O211" i="2"/>
  <c r="G211" i="2"/>
  <c r="O210" i="2"/>
  <c r="G210" i="2"/>
  <c r="O209" i="2"/>
  <c r="G209" i="2"/>
  <c r="O208" i="2"/>
  <c r="G208" i="2"/>
  <c r="O207" i="2"/>
  <c r="G207" i="2"/>
  <c r="O206" i="2"/>
  <c r="G206" i="2"/>
  <c r="O205" i="2"/>
  <c r="G205" i="2"/>
  <c r="O204" i="2"/>
  <c r="G204" i="2"/>
  <c r="O203" i="2"/>
  <c r="G203" i="2"/>
  <c r="O202" i="2"/>
  <c r="G202" i="2"/>
  <c r="O201" i="2"/>
  <c r="G201" i="2"/>
  <c r="O200" i="2"/>
  <c r="G200" i="2"/>
  <c r="O199" i="2"/>
  <c r="G199" i="2"/>
  <c r="O198" i="2"/>
  <c r="G198" i="2"/>
  <c r="O197" i="2"/>
  <c r="G197" i="2"/>
  <c r="O196" i="2"/>
  <c r="G196" i="2"/>
  <c r="O195" i="2"/>
  <c r="G195" i="2"/>
  <c r="O194" i="2"/>
  <c r="G194" i="2"/>
  <c r="O193" i="2"/>
  <c r="G193" i="2"/>
  <c r="O192" i="2"/>
  <c r="G192" i="2"/>
  <c r="O191" i="2"/>
  <c r="G191" i="2"/>
  <c r="O190" i="2"/>
  <c r="G190" i="2"/>
  <c r="O189" i="2"/>
  <c r="G189" i="2"/>
  <c r="O188" i="2"/>
  <c r="G188" i="2"/>
  <c r="O187" i="2"/>
  <c r="G187" i="2"/>
  <c r="O186" i="2"/>
  <c r="G186" i="2"/>
  <c r="O185" i="2"/>
  <c r="G185" i="2"/>
  <c r="O184" i="2"/>
  <c r="G184" i="2"/>
  <c r="O183" i="2"/>
  <c r="G183" i="2"/>
  <c r="O182" i="2"/>
  <c r="G182" i="2"/>
  <c r="O181" i="2"/>
  <c r="G181" i="2"/>
  <c r="O180" i="2"/>
  <c r="G180" i="2"/>
  <c r="O179" i="2"/>
  <c r="G179" i="2"/>
  <c r="O178" i="2"/>
  <c r="G178" i="2"/>
  <c r="O177" i="2"/>
  <c r="G177" i="2"/>
  <c r="O176" i="2"/>
  <c r="G176" i="2"/>
  <c r="O175" i="2"/>
  <c r="G175" i="2"/>
  <c r="O174" i="2"/>
  <c r="G174" i="2"/>
  <c r="O173" i="2"/>
  <c r="G173" i="2"/>
  <c r="O172" i="2"/>
  <c r="G172" i="2"/>
  <c r="O171" i="2"/>
  <c r="G171" i="2"/>
  <c r="O170" i="2"/>
  <c r="G170" i="2"/>
  <c r="O169" i="2"/>
  <c r="G169" i="2"/>
  <c r="O168" i="2"/>
  <c r="G168" i="2"/>
  <c r="O167" i="2"/>
  <c r="G167" i="2"/>
  <c r="O166" i="2"/>
  <c r="G166" i="2"/>
  <c r="O165" i="2"/>
  <c r="G165" i="2"/>
  <c r="O164" i="2"/>
  <c r="G164" i="2"/>
  <c r="O163" i="2"/>
  <c r="G163" i="2"/>
  <c r="O162" i="2"/>
  <c r="G162" i="2"/>
  <c r="O161" i="2"/>
  <c r="G161" i="2"/>
  <c r="O160" i="2"/>
  <c r="G160" i="2"/>
  <c r="O159" i="2"/>
  <c r="G159" i="2"/>
  <c r="O158" i="2"/>
  <c r="G158" i="2"/>
  <c r="O157" i="2"/>
  <c r="G157" i="2"/>
  <c r="O156" i="2"/>
  <c r="G156" i="2"/>
  <c r="O155" i="2"/>
  <c r="G155" i="2"/>
  <c r="O154" i="2"/>
  <c r="G154" i="2"/>
  <c r="O153" i="2"/>
  <c r="G153" i="2"/>
  <c r="O152" i="2"/>
  <c r="G152" i="2"/>
  <c r="O151" i="2"/>
  <c r="G151" i="2"/>
  <c r="O150" i="2"/>
  <c r="G150" i="2"/>
  <c r="O149" i="2"/>
  <c r="G149" i="2"/>
  <c r="O148" i="2"/>
  <c r="G148" i="2"/>
  <c r="O147" i="2"/>
  <c r="G147" i="2"/>
  <c r="O146" i="2"/>
  <c r="G146" i="2"/>
  <c r="O145" i="2"/>
  <c r="G145" i="2"/>
  <c r="O144" i="2"/>
  <c r="G144" i="2"/>
  <c r="O143" i="2"/>
  <c r="G143" i="2"/>
  <c r="O142" i="2"/>
  <c r="G142" i="2"/>
  <c r="O141" i="2"/>
  <c r="G141" i="2"/>
  <c r="O140" i="2"/>
  <c r="G140" i="2"/>
  <c r="O139" i="2"/>
  <c r="G139" i="2"/>
  <c r="O138" i="2"/>
  <c r="G138" i="2"/>
  <c r="O137" i="2"/>
  <c r="G137" i="2"/>
  <c r="O136" i="2"/>
  <c r="G136" i="2"/>
  <c r="O135" i="2"/>
  <c r="G135" i="2"/>
  <c r="O134" i="2"/>
  <c r="G134" i="2"/>
  <c r="O133" i="2"/>
  <c r="G133" i="2"/>
  <c r="O132" i="2"/>
  <c r="G132" i="2"/>
  <c r="O131" i="2"/>
  <c r="G131" i="2"/>
  <c r="O130" i="2"/>
  <c r="G130" i="2"/>
  <c r="O129" i="2"/>
  <c r="G129" i="2"/>
  <c r="O128" i="2"/>
  <c r="G128" i="2"/>
  <c r="O127" i="2"/>
  <c r="G127" i="2"/>
  <c r="O126" i="2"/>
  <c r="G126" i="2"/>
  <c r="O125" i="2"/>
  <c r="G125" i="2"/>
  <c r="O124" i="2"/>
  <c r="G124" i="2"/>
  <c r="O123" i="2"/>
  <c r="G123" i="2"/>
  <c r="O122" i="2"/>
  <c r="G122" i="2"/>
  <c r="O121" i="2"/>
  <c r="G121" i="2"/>
  <c r="O120" i="2"/>
  <c r="G120" i="2"/>
  <c r="O119" i="2"/>
  <c r="G119" i="2"/>
  <c r="O118" i="2"/>
  <c r="G118" i="2"/>
  <c r="O117" i="2"/>
  <c r="G117" i="2"/>
  <c r="O116" i="2"/>
  <c r="G116" i="2"/>
  <c r="O115" i="2"/>
  <c r="G115" i="2"/>
  <c r="O114" i="2"/>
  <c r="G114" i="2"/>
  <c r="O113" i="2"/>
  <c r="G113" i="2"/>
  <c r="O112" i="2"/>
  <c r="G112" i="2"/>
  <c r="O111" i="2"/>
  <c r="G111" i="2"/>
  <c r="O110" i="2"/>
  <c r="G110" i="2"/>
  <c r="O109" i="2"/>
  <c r="G109" i="2"/>
  <c r="O108" i="2"/>
  <c r="G108" i="2"/>
  <c r="O107" i="2"/>
  <c r="G107" i="2"/>
  <c r="O106" i="2"/>
  <c r="G106" i="2"/>
  <c r="O105" i="2"/>
  <c r="G105" i="2"/>
  <c r="O104" i="2"/>
  <c r="G104" i="2"/>
  <c r="O103" i="2"/>
  <c r="G103" i="2"/>
  <c r="O102" i="2"/>
  <c r="G102" i="2"/>
  <c r="O101" i="2"/>
  <c r="G101" i="2"/>
  <c r="O100" i="2"/>
  <c r="G100" i="2"/>
  <c r="O99" i="2"/>
  <c r="G99" i="2"/>
  <c r="O98" i="2"/>
  <c r="G98" i="2"/>
  <c r="O97" i="2"/>
  <c r="G97" i="2"/>
  <c r="O96" i="2"/>
  <c r="G96" i="2"/>
  <c r="O95" i="2"/>
  <c r="G95" i="2"/>
  <c r="O94" i="2"/>
  <c r="G94" i="2"/>
  <c r="O93" i="2"/>
  <c r="G93" i="2"/>
  <c r="O92" i="2"/>
  <c r="G92" i="2"/>
  <c r="O91" i="2"/>
  <c r="G91" i="2"/>
  <c r="O90" i="2"/>
  <c r="G90" i="2"/>
  <c r="O89" i="2"/>
  <c r="G89" i="2"/>
  <c r="O88" i="2"/>
  <c r="G88" i="2"/>
  <c r="O87" i="2"/>
  <c r="G87" i="2"/>
  <c r="O86" i="2"/>
  <c r="G86" i="2"/>
  <c r="O85" i="2"/>
  <c r="G85" i="2"/>
  <c r="O84" i="2"/>
  <c r="G84" i="2"/>
  <c r="O83" i="2"/>
  <c r="G83" i="2"/>
  <c r="O82" i="2"/>
  <c r="G82" i="2"/>
  <c r="O81" i="2"/>
  <c r="G81" i="2"/>
  <c r="O80" i="2"/>
  <c r="G80" i="2"/>
  <c r="O79" i="2"/>
  <c r="G79" i="2"/>
  <c r="O78" i="2"/>
  <c r="G78" i="2"/>
  <c r="O77" i="2"/>
  <c r="G77" i="2"/>
  <c r="O76" i="2"/>
  <c r="G76" i="2"/>
  <c r="O75" i="2"/>
  <c r="G75" i="2"/>
  <c r="O74" i="2"/>
  <c r="G74" i="2"/>
  <c r="O73" i="2"/>
  <c r="G73" i="2"/>
  <c r="O72" i="2"/>
  <c r="G72" i="2"/>
  <c r="O71" i="2"/>
  <c r="G71" i="2"/>
  <c r="O70" i="2"/>
  <c r="G70" i="2"/>
  <c r="O69" i="2"/>
  <c r="G69" i="2"/>
  <c r="O68" i="2"/>
  <c r="G68" i="2"/>
  <c r="O67" i="2"/>
  <c r="G67" i="2"/>
  <c r="O66" i="2"/>
  <c r="G66" i="2"/>
  <c r="O65" i="2"/>
  <c r="G65" i="2"/>
  <c r="O64" i="2"/>
  <c r="G64" i="2"/>
  <c r="O63" i="2"/>
  <c r="G63" i="2"/>
  <c r="O62" i="2"/>
  <c r="G62" i="2"/>
  <c r="O61" i="2"/>
  <c r="G61" i="2"/>
  <c r="O60" i="2"/>
  <c r="G60" i="2"/>
  <c r="O59" i="2"/>
  <c r="G59" i="2"/>
  <c r="O58" i="2"/>
  <c r="G58" i="2"/>
  <c r="O57" i="2"/>
  <c r="G57" i="2"/>
  <c r="O56" i="2"/>
  <c r="G56" i="2"/>
  <c r="O55" i="2"/>
  <c r="G55" i="2"/>
  <c r="O54" i="2"/>
  <c r="G54" i="2"/>
  <c r="O53" i="2"/>
  <c r="G53" i="2"/>
  <c r="O52" i="2"/>
  <c r="G52" i="2"/>
  <c r="O51" i="2"/>
  <c r="G51" i="2"/>
  <c r="O50" i="2"/>
  <c r="G50" i="2"/>
  <c r="O49" i="2"/>
  <c r="G49" i="2"/>
  <c r="O48" i="2"/>
  <c r="G48" i="2"/>
  <c r="O47" i="2"/>
  <c r="G47" i="2"/>
  <c r="O46" i="2"/>
  <c r="G46" i="2"/>
  <c r="O45" i="2"/>
  <c r="G45" i="2"/>
  <c r="O44" i="2"/>
  <c r="G44" i="2"/>
  <c r="O43" i="2"/>
  <c r="G43" i="2"/>
  <c r="O42" i="2"/>
  <c r="G42" i="2"/>
  <c r="O41" i="2"/>
  <c r="G41" i="2"/>
  <c r="O40" i="2"/>
  <c r="G40" i="2"/>
  <c r="O39" i="2"/>
  <c r="G39" i="2"/>
  <c r="O38" i="2"/>
  <c r="G38" i="2"/>
  <c r="O37" i="2"/>
  <c r="G37" i="2"/>
  <c r="O36" i="2"/>
  <c r="G36" i="2"/>
  <c r="O35" i="2"/>
  <c r="G35" i="2"/>
  <c r="O34" i="2"/>
  <c r="G34" i="2"/>
  <c r="O33" i="2"/>
  <c r="G33" i="2"/>
  <c r="O32" i="2"/>
  <c r="G32" i="2"/>
  <c r="O31" i="2"/>
  <c r="G31" i="2"/>
  <c r="O30" i="2"/>
  <c r="G30" i="2"/>
  <c r="O29" i="2"/>
  <c r="G29" i="2"/>
  <c r="O28" i="2"/>
  <c r="G28" i="2"/>
  <c r="O27" i="2"/>
  <c r="G27" i="2"/>
  <c r="O26" i="2"/>
  <c r="G26" i="2"/>
  <c r="O25" i="2"/>
  <c r="G25" i="2"/>
  <c r="O24" i="2"/>
  <c r="G24" i="2"/>
  <c r="O23" i="2"/>
  <c r="G23" i="2"/>
  <c r="O22" i="2"/>
  <c r="G22" i="2"/>
  <c r="O21" i="2"/>
  <c r="G21" i="2"/>
  <c r="O20" i="2"/>
  <c r="G20" i="2"/>
  <c r="O19" i="2"/>
  <c r="G19" i="2"/>
  <c r="O18" i="2"/>
  <c r="G18" i="2"/>
  <c r="O17" i="2"/>
  <c r="G17" i="2"/>
  <c r="O16" i="2"/>
  <c r="G16" i="2"/>
  <c r="O15" i="2"/>
  <c r="G15" i="2"/>
  <c r="O14" i="2"/>
  <c r="G14" i="2"/>
  <c r="O13" i="2"/>
  <c r="G13" i="2"/>
  <c r="O12" i="2"/>
  <c r="G12" i="2"/>
  <c r="O11" i="2"/>
  <c r="G11" i="2"/>
  <c r="O10" i="2"/>
  <c r="G10" i="2"/>
  <c r="O9" i="2"/>
  <c r="G9" i="2"/>
  <c r="O8" i="2"/>
  <c r="G8" i="2"/>
  <c r="O7" i="2"/>
  <c r="G7" i="2"/>
  <c r="O6" i="2"/>
  <c r="G6" i="2"/>
  <c r="O5" i="2"/>
  <c r="G5" i="2"/>
  <c r="O4" i="2"/>
  <c r="G4" i="2"/>
  <c r="O3" i="2"/>
  <c r="G3" i="2"/>
  <c r="O2" i="2"/>
  <c r="G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5A773B-5B38-46C2-8B4B-A28600F04819}" keepAlive="1" name="Query - Campaign_clean (2)" description="Connection to the 'Campaign_clean (2)' query in the workbook." type="5" refreshedVersion="8" background="1" saveData="1">
    <dbPr connection="Provider=Microsoft.Mashup.OleDb.1;Data Source=$Workbook$;Location=&quot;Campaign_clean (2)&quot;;Extended Properties=&quot;&quot;" command="SELECT * FROM [Campaign_clean (2)]"/>
  </connection>
  <connection id="2" xr16:uid="{95C98DD2-1E30-4977-8B1E-0EABA7072E23}" keepAlive="1" name="Query - Engagement_Clean1" description="Connection to the 'Engagement_Clean1' query in the workbook." type="5" refreshedVersion="8" background="1" saveData="1">
    <dbPr connection="Provider=Microsoft.Mashup.OleDb.1;Data Source=$Workbook$;Location=Engagement_Clean1;Extended Properties=&quot;&quot;" command="SELECT * FROM [Engagement_Clean1]"/>
  </connection>
  <connection id="3" xr16:uid="{1A635E27-F6F7-498C-BE31-2115016D8FB1}" keepAlive="1" name="Query - Engagement_Clean1 (2)" description="Connection to the 'Engagement_Clean1 (2)' query in the workbook." type="5" refreshedVersion="8" background="1" saveData="1">
    <dbPr connection="Provider=Microsoft.Mashup.OleDb.1;Data Source=$Workbook$;Location=&quot;Engagement_Clean1 (2)&quot;;Extended Properties=&quot;&quot;" command="SELECT * FROM [Engagement_Clean1 (2)]"/>
  </connection>
  <connection id="4" xr16:uid="{807287FD-4CDA-4F05-9472-BCCB26205BCB}" keepAlive="1" name="Query - Posts" description="Connection to the 'Posts' query in the workbook." type="5" refreshedVersion="8" background="1" saveData="1">
    <dbPr connection="Provider=Microsoft.Mashup.OleDb.1;Data Source=$Workbook$;Location=Posts;Extended Properties=&quot;&quot;" command="SELECT * FROM [Posts]"/>
  </connection>
</connections>
</file>

<file path=xl/sharedStrings.xml><?xml version="1.0" encoding="utf-8"?>
<sst xmlns="http://schemas.openxmlformats.org/spreadsheetml/2006/main" count="2479" uniqueCount="347">
  <si>
    <t>PostID</t>
  </si>
  <si>
    <t>Platform</t>
  </si>
  <si>
    <t>Date</t>
  </si>
  <si>
    <t>ContentType</t>
  </si>
  <si>
    <t>Hashtags.1</t>
  </si>
  <si>
    <t>Hashtags.2</t>
  </si>
  <si>
    <t>All_Hashtgs</t>
  </si>
  <si>
    <t>Likes</t>
  </si>
  <si>
    <t>Shares</t>
  </si>
  <si>
    <t>Comments</t>
  </si>
  <si>
    <t>Clicks</t>
  </si>
  <si>
    <t>Reach</t>
  </si>
  <si>
    <t>Impressions</t>
  </si>
  <si>
    <t>Campaign</t>
  </si>
  <si>
    <t>Period_new</t>
  </si>
  <si>
    <t>Engagement_rate</t>
  </si>
  <si>
    <t>A1</t>
  </si>
  <si>
    <t>YouTube</t>
  </si>
  <si>
    <t>Image</t>
  </si>
  <si>
    <t>#AppleWatchUltra2</t>
  </si>
  <si>
    <t>#HealthTech</t>
  </si>
  <si>
    <t>Apple Watch Ultra 2 Launch</t>
  </si>
  <si>
    <t>A2</t>
  </si>
  <si>
    <t>LinkedIn</t>
  </si>
  <si>
    <t>#MacBookAirM3</t>
  </si>
  <si>
    <t>#AppleInnovation</t>
  </si>
  <si>
    <t>Apple Event September 2025</t>
  </si>
  <si>
    <t>A3</t>
  </si>
  <si>
    <t>Instagram</t>
  </si>
  <si>
    <t>Tweet</t>
  </si>
  <si>
    <t>#AppleDesign</t>
  </si>
  <si>
    <t>#Innovation</t>
  </si>
  <si>
    <t>Sustainability Awareness Drive</t>
  </si>
  <si>
    <t>A4</t>
  </si>
  <si>
    <t>Video</t>
  </si>
  <si>
    <t>#AppleEvent</t>
  </si>
  <si>
    <t>#iPadPro</t>
  </si>
  <si>
    <t>iPhone 16 Launch</t>
  </si>
  <si>
    <t>A5</t>
  </si>
  <si>
    <t>A7</t>
  </si>
  <si>
    <t>Carousel</t>
  </si>
  <si>
    <t>#AppleMusic</t>
  </si>
  <si>
    <t>#AppleLifestyle</t>
  </si>
  <si>
    <t>A8</t>
  </si>
  <si>
    <t>#AppleWatch</t>
  </si>
  <si>
    <t>#Health</t>
  </si>
  <si>
    <t>A9</t>
  </si>
  <si>
    <t>A10</t>
  </si>
  <si>
    <t>Twitter</t>
  </si>
  <si>
    <t>#iPhone16Launch</t>
  </si>
  <si>
    <t>A11</t>
  </si>
  <si>
    <t>A12</t>
  </si>
  <si>
    <t>A13</t>
  </si>
  <si>
    <t>MacBook Air M3 Campaign</t>
  </si>
  <si>
    <t>A14</t>
  </si>
  <si>
    <t>A15</t>
  </si>
  <si>
    <t>A16</t>
  </si>
  <si>
    <t>A17</t>
  </si>
  <si>
    <t>#iPhone16</t>
  </si>
  <si>
    <t>A18</t>
  </si>
  <si>
    <t>A19</t>
  </si>
  <si>
    <t>A20</t>
  </si>
  <si>
    <t>A21</t>
  </si>
  <si>
    <t>#iPhonePhotography</t>
  </si>
  <si>
    <t>#ShotOniPhone</t>
  </si>
  <si>
    <t>A22</t>
  </si>
  <si>
    <t>A23</t>
  </si>
  <si>
    <t>A24</t>
  </si>
  <si>
    <t>A25</t>
  </si>
  <si>
    <t>A26</t>
  </si>
  <si>
    <t>A27</t>
  </si>
  <si>
    <t>A30</t>
  </si>
  <si>
    <t>A31</t>
  </si>
  <si>
    <t>A32</t>
  </si>
  <si>
    <t>A33</t>
  </si>
  <si>
    <t>A34</t>
  </si>
  <si>
    <t>A35</t>
  </si>
  <si>
    <t>A37</t>
  </si>
  <si>
    <t>A38</t>
  </si>
  <si>
    <t>A39</t>
  </si>
  <si>
    <t>A40</t>
  </si>
  <si>
    <t>A41</t>
  </si>
  <si>
    <t>A42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</si>
  <si>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</si>
  <si>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</si>
  <si>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</si>
  <si>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</si>
  <si>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</si>
  <si>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</si>
  <si>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</si>
  <si>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</si>
  <si>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</si>
  <si>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</si>
  <si>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</si>
  <si>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</si>
  <si>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</si>
  <si>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</si>
  <si>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</si>
  <si>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</si>
  <si>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</si>
  <si>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A62</t>
  </si>
  <si>
    <t>A63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</si>
  <si>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</si>
  <si>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</si>
  <si>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</si>
  <si>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</si>
  <si>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</si>
  <si>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</si>
  <si>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</si>
  <si>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</si>
  <si>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</si>
  <si>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</si>
  <si>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</si>
  <si>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A77</t>
  </si>
  <si>
    <t>A78</t>
  </si>
  <si>
    <t>A79</t>
  </si>
  <si>
    <t>#Sustainability</t>
  </si>
  <si>
    <t>#AppleEarth</t>
  </si>
  <si>
    <t>A80</t>
  </si>
  <si>
    <t>A81</t>
  </si>
  <si>
    <t>A82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</si>
  <si>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</si>
  <si>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</si>
  <si>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</si>
  <si>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</si>
  <si>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</si>
  <si>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</si>
  <si>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</si>
  <si>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</si>
  <si>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</si>
  <si>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</si>
  <si>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</si>
  <si>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</si>
  <si>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</si>
  <si>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</si>
  <si>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</si>
  <si>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</si>
  <si>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A101</t>
  </si>
  <si>
    <t>A103</t>
  </si>
  <si>
    <t>A104</t>
  </si>
  <si>
    <t>A105</t>
  </si>
  <si>
    <t>A106</t>
  </si>
  <si>
    <t>A107</t>
  </si>
  <si>
    <t>A108</t>
  </si>
  <si>
    <t>A109</t>
  </si>
  <si>
    <t>A110</t>
  </si>
  <si>
    <t>A112</t>
  </si>
  <si>
    <t>A113</t>
  </si>
  <si>
    <t>A114</t>
  </si>
  <si>
    <t>A115</t>
  </si>
  <si>
    <t>A116</t>
  </si>
  <si>
    <t>A117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</si>
  <si>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</si>
  <si>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</si>
  <si>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</si>
  <si>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</si>
  <si>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</si>
  <si>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</si>
  <si>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</si>
  <si>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</si>
  <si>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</si>
  <si>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</si>
  <si>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</si>
  <si>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</si>
  <si>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</si>
  <si>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</si>
  <si>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</si>
  <si>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</si>
  <si>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</si>
  <si>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</si>
  <si>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</si>
  <si>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</si>
  <si>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</si>
  <si>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</si>
  <si>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</si>
  <si>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</si>
  <si>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</si>
  <si>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</si>
  <si>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</si>
  <si>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</si>
  <si>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</si>
  <si>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</si>
  <si>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</si>
  <si>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</si>
  <si>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</si>
  <si>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</si>
  <si>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</si>
  <si>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</si>
  <si>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</si>
  <si>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</si>
  <si>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</si>
  <si>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</si>
  <si>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</si>
  <si>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</si>
  <si>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</si>
  <si>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</si>
  <si>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</si>
  <si>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</si>
  <si>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</si>
  <si>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</si>
  <si>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</si>
  <si>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</si>
  <si>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</si>
  <si>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</si>
  <si>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</si>
  <si>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</si>
  <si>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</si>
  <si>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</si>
  <si>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</si>
  <si>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</si>
  <si>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</si>
  <si>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</si>
  <si>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</si>
  <si>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</si>
  <si>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</si>
  <si>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</si>
  <si>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</si>
  <si>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</si>
  <si>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</si>
  <si>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</si>
  <si>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A190</t>
  </si>
  <si>
    <t>A191</t>
  </si>
  <si>
    <t>A192</t>
  </si>
  <si>
    <t>A193</t>
  </si>
  <si>
    <t>A194</t>
  </si>
  <si>
    <t>A195</t>
  </si>
  <si>
    <t>A197</t>
  </si>
  <si>
    <t>A198</t>
  </si>
  <si>
    <t>A199</t>
  </si>
  <si>
    <t>A200</t>
  </si>
  <si>
    <t>A202</t>
  </si>
  <si>
    <t>A203</t>
  </si>
  <si>
    <t>A205</t>
  </si>
  <si>
    <t>A206</t>
  </si>
  <si>
    <t>A208</t>
  </si>
  <si>
    <t>A209</t>
  </si>
  <si>
    <t>A210</t>
  </si>
  <si>
    <t>A212</t>
  </si>
  <si>
    <t>A213</t>
  </si>
  <si>
    <t>A214</t>
  </si>
  <si>
    <t>A215</t>
  </si>
  <si>
    <t>A216</t>
  </si>
  <si>
    <t>A217</t>
  </si>
  <si>
    <t>A219</t>
  </si>
  <si>
    <t>A220</t>
  </si>
  <si>
    <t>A221</t>
  </si>
  <si>
    <t>A223</t>
  </si>
  <si>
    <t>A224</t>
  </si>
  <si>
    <t>A225</t>
  </si>
  <si>
    <t>A226</t>
  </si>
  <si>
    <t>A227</t>
  </si>
  <si>
    <t>A228</t>
  </si>
  <si>
    <t>A229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</si>
  <si>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</si>
  <si>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</si>
  <si>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</si>
  <si>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</si>
  <si>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</si>
  <si>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</si>
  <si>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</si>
  <si>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</si>
  <si>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</si>
  <si>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</si>
  <si>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</si>
  <si>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</si>
  <si>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</si>
  <si>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</si>
  <si>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</si>
  <si>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</si>
  <si>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A248</t>
  </si>
  <si>
    <t>A250</t>
  </si>
  <si>
    <t>A251</t>
  </si>
  <si>
    <t>A252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</si>
  <si>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</si>
  <si>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</si>
  <si>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</si>
  <si>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</si>
  <si>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</si>
  <si>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</si>
  <si>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</si>
  <si>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</si>
  <si>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</si>
  <si>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A264</t>
  </si>
  <si>
    <t>A265</t>
  </si>
  <si>
    <t>A266</t>
  </si>
  <si>
    <t>A267</t>
  </si>
  <si>
    <t>A270</t>
  </si>
  <si>
    <t>A271</t>
  </si>
  <si>
    <t>A272</t>
  </si>
  <si>
    <t>A273</t>
  </si>
  <si>
    <t>A274</t>
  </si>
  <si>
    <t>A275</t>
  </si>
  <si>
    <t>A276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</si>
  <si>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</si>
  <si>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</si>
  <si>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</si>
  <si>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</si>
  <si>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</si>
  <si>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</si>
  <si>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</si>
  <si>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</si>
  <si>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</si>
  <si>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</si>
  <si>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</si>
  <si>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</si>
  <si>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A291</t>
  </si>
  <si>
    <t>A292</t>
  </si>
  <si>
    <t>A293</t>
  </si>
  <si>
    <t>A294</t>
  </si>
  <si>
    <t>A295</t>
  </si>
  <si>
    <t>A296</t>
  </si>
  <si>
    <t>A298</t>
  </si>
  <si>
    <t>A299</t>
  </si>
  <si>
    <t>A300</t>
  </si>
  <si>
    <t>Week_Start_Date</t>
  </si>
  <si>
    <t>New_Followers</t>
  </si>
  <si>
    <t>Unfollows</t>
  </si>
  <si>
    <t>Net_Followers</t>
  </si>
  <si>
    <t>Total_Followers</t>
  </si>
  <si>
    <t>Engagement_Rate</t>
  </si>
  <si>
    <t>Ad_Spend</t>
  </si>
  <si>
    <t>No Campaign</t>
  </si>
  <si>
    <t>Campaign_Name</t>
  </si>
  <si>
    <t>Start_Date</t>
  </si>
  <si>
    <t>End_Date</t>
  </si>
  <si>
    <t>Objective</t>
  </si>
  <si>
    <t>Engagement_Uplift</t>
  </si>
  <si>
    <t>Product Launch</t>
  </si>
  <si>
    <t>Product Promotion</t>
  </si>
  <si>
    <t>Health &amp; Fitness Awareness</t>
  </si>
  <si>
    <t>Sustainability Branding</t>
  </si>
  <si>
    <t>Brand Engagement</t>
  </si>
  <si>
    <t>Column Labels</t>
  </si>
  <si>
    <t>Sum of Net_Followers</t>
  </si>
  <si>
    <t>Week</t>
  </si>
  <si>
    <t>Net Followers</t>
  </si>
  <si>
    <t>“The peak follower gain was recorded on 03-06-2024 by YouTube with 16,106 net followers.”</t>
  </si>
  <si>
    <t>Moving_avg</t>
  </si>
  <si>
    <t>Final report insights</t>
  </si>
  <si>
    <t>Weekly Growth</t>
  </si>
  <si>
    <t>Follower growth varied across platforms, with YouTube and Twitter showing strong spikes.</t>
  </si>
  <si>
    <t>Peak Week</t>
  </si>
  <si>
    <t>YouTube recorded the highest follower gain on 22-07-2024 with 9,254 net followers.</t>
  </si>
  <si>
    <t>Moving Average</t>
  </si>
  <si>
    <t>Moving averages smoothed fluctuations and revealed long-term trends.</t>
  </si>
  <si>
    <t>Ad Spend</t>
  </si>
  <si>
    <t>Higher ad spend generally aligned with increased follower growth, though efficiency varied across campaigns.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</si>
</sst>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 Unicode MS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9" tint="0.79998168889431442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0" xfId="0" applyFont="1" applyFill="1"/>
    <xf numFmtId="14" fontId="2" fillId="2" borderId="0" xfId="0" applyNumberFormat="1" applyFont="1" applyFill="1"/>
    <xf numFmtId="1" fontId="2" fillId="2" borderId="0" xfId="0" applyNumberFormat="1" applyFont="1" applyFill="1"/>
    <xf numFmtId="10" fontId="2" fillId="2" borderId="0" xfId="0" applyNumberFormat="1" applyFont="1" applyFill="1"/>
    <xf numFmtId="14" fontId="0" fillId="0" borderId="0" xfId="0" applyNumberFormat="1"/>
    <xf numFmtId="1" fontId="0" fillId="0" borderId="0" xfId="0" applyNumberFormat="1"/>
    <xf numFmtId="10" fontId="0" fillId="0" borderId="0" xfId="0" applyNumberFormat="1"/>
    <xf numFmtId="0" fontId="0" fillId="2" borderId="0" xfId="0" applyFill="1"/>
    <xf numFmtId="0" fontId="0" fillId="3" borderId="0" xfId="0" applyFill="1"/>
    <xf numFmtId="0" fontId="3" fillId="0" borderId="0" xfId="0" applyFont="1" applyAlignment="1">
      <alignment vertical="center"/>
    </xf>
    <xf numFmtId="0" fontId="0" fillId="4" borderId="0" xfId="0" applyFill="1"/>
    <xf numFmtId="14" fontId="1" fillId="4" borderId="0" xfId="0" applyNumberFormat="1" applyFont="1" applyFill="1" applyAlignment="1">
      <alignment horizontal="left"/>
    </xf>
    <xf numFmtId="0" fontId="1" fillId="4" borderId="0" xfId="0" applyFont="1" applyFill="1"/>
    <xf numFmtId="0" fontId="1" fillId="0" borderId="0" xfId="0" applyFont="1"/>
    <xf numFmtId="0" fontId="2" fillId="0" borderId="0" xfId="0" applyFont="1"/>
    <xf numFmtId="0" fontId="4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right" vertical="center" wrapText="1"/>
    </xf>
    <xf numFmtId="14" fontId="4" fillId="5" borderId="0" xfId="0" applyNumberFormat="1" applyFont="1" applyFill="1" applyAlignment="1">
      <alignment horizontal="right" vertical="center" wrapText="1"/>
    </xf>
    <xf numFmtId="0" fontId="0" fillId="5" borderId="0" xfId="0" applyFill="1"/>
    <xf numFmtId="0" fontId="5" fillId="0" borderId="0" xfId="0" applyFont="1"/>
    <xf numFmtId="0" fontId="0" fillId="0" borderId="2" xfId="0" applyFont="1" applyBorder="1"/>
    <xf numFmtId="14" fontId="0" fillId="6" borderId="1" xfId="0" applyNumberFormat="1" applyFont="1" applyFill="1" applyBorder="1"/>
    <xf numFmtId="14" fontId="0" fillId="0" borderId="1" xfId="0" applyNumberFormat="1" applyFont="1" applyBorder="1"/>
    <xf numFmtId="0" fontId="0" fillId="0" borderId="2" xfId="0" applyBorder="1"/>
    <xf numFmtId="0" fontId="0" fillId="0" borderId="0" xfId="0" applyFont="1" applyBorder="1"/>
    <xf numFmtId="14" fontId="0" fillId="6" borderId="4" xfId="0" applyNumberFormat="1" applyFont="1" applyFill="1" applyBorder="1"/>
    <xf numFmtId="0" fontId="0" fillId="6" borderId="5" xfId="0" applyFont="1" applyFill="1" applyBorder="1"/>
    <xf numFmtId="0" fontId="1" fillId="8" borderId="3" xfId="0" applyFont="1" applyFill="1" applyBorder="1"/>
    <xf numFmtId="14" fontId="1" fillId="9" borderId="3" xfId="0" applyNumberFormat="1" applyFont="1" applyFill="1" applyBorder="1"/>
    <xf numFmtId="0" fontId="1" fillId="9" borderId="3" xfId="0" applyFont="1" applyFill="1" applyBorder="1"/>
    <xf numFmtId="14" fontId="1" fillId="8" borderId="3" xfId="0" applyNumberFormat="1" applyFont="1" applyFill="1" applyBorder="1"/>
    <xf numFmtId="0" fontId="6" fillId="10" borderId="3" xfId="0" applyFont="1" applyFill="1" applyBorder="1"/>
    <xf numFmtId="0" fontId="0" fillId="8" borderId="3" xfId="0" applyFill="1" applyBorder="1"/>
    <xf numFmtId="0" fontId="7" fillId="11" borderId="3" xfId="0" applyFont="1" applyFill="1" applyBorder="1"/>
    <xf numFmtId="0" fontId="4" fillId="0" borderId="0" xfId="0" applyFont="1"/>
    <xf numFmtId="0" fontId="4" fillId="0" borderId="0" xfId="0" applyFont="1" applyAlignment="1">
      <alignment horizontal="left" vertical="center" indent="1"/>
    </xf>
    <xf numFmtId="0" fontId="4" fillId="7" borderId="0" xfId="0" applyFont="1" applyFill="1"/>
    <xf numFmtId="0" fontId="4" fillId="7" borderId="0" xfId="0" applyFont="1" applyFill="1" applyAlignment="1">
      <alignment horizontal="left" vertical="center" indent="1"/>
    </xf>
    <xf numFmtId="0" fontId="4" fillId="12" borderId="0" xfId="0" applyFont="1" applyFill="1" applyAlignment="1">
      <alignment vertical="center"/>
    </xf>
    <xf numFmtId="0" fontId="4" fillId="12" borderId="0" xfId="0" applyFont="1" applyFill="1"/>
    <xf numFmtId="0" fontId="8" fillId="5" borderId="0" xfId="0" applyFont="1" applyFill="1" applyAlignment="1">
      <alignment vertical="center"/>
    </xf>
    <xf numFmtId="0" fontId="8" fillId="5" borderId="0" xfId="0" applyFont="1" applyFill="1"/>
  </cellXfs>
  <cellStyles count="1">
    <cellStyle name="Normal" xfId="0" builtinId="0"/>
  </cellStyles>
  <dxfs count="37">
    <dxf>
      <fill>
        <patternFill patternType="solid">
          <bgColor theme="7" tint="0.39997558519241921"/>
        </patternFill>
      </fill>
    </dxf>
    <dxf>
      <font>
        <b/>
      </font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19" formatCode="dd/mm/yyyy"/>
    </dxf>
    <dxf>
      <fill>
        <patternFill patternType="solid">
          <fgColor indexed="64"/>
          <bgColor rgb="FF00B050"/>
        </patternFill>
      </fill>
    </dxf>
    <dxf>
      <numFmt numFmtId="14" formatCode="0.00%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fill>
        <patternFill patternType="solid">
          <fgColor indexed="64"/>
          <bgColor rgb="FF00B050"/>
        </patternFill>
      </fill>
    </dxf>
    <dxf>
      <numFmt numFmtId="14" formatCode="0.00%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19" formatCode="dd/mm/yyyy"/>
    </dxf>
    <dxf>
      <fill>
        <patternFill patternType="solid">
          <fgColor indexed="64"/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0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800">
                <a:solidFill>
                  <a:schemeClr val="tx1"/>
                </a:solidFill>
              </a:rPr>
              <a:t>Ad Spend vs Follower Growth</a:t>
            </a:r>
          </a:p>
        </c:rich>
      </c:tx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00" normalizeH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'Ad Spend vs Follower Growth'!$B$1</c:f>
              <c:strCache>
                <c:ptCount val="1"/>
                <c:pt idx="0">
                  <c:v>Ad_Spend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'Ad Spend vs Follower Growth'!$A$2:$A$201</c:f>
              <c:numCache>
                <c:formatCode>General</c:formatCode>
                <c:ptCount val="50"/>
                <c:pt idx="0">
                  <c:v>3777</c:v>
                </c:pt>
                <c:pt idx="1">
                  <c:v>7215</c:v>
                </c:pt>
                <c:pt idx="2">
                  <c:v>7452</c:v>
                </c:pt>
                <c:pt idx="3">
                  <c:v>8654</c:v>
                </c:pt>
                <c:pt idx="4">
                  <c:v>5442</c:v>
                </c:pt>
                <c:pt idx="5">
                  <c:v>7151</c:v>
                </c:pt>
                <c:pt idx="6">
                  <c:v>3586</c:v>
                </c:pt>
                <c:pt idx="7">
                  <c:v>7429</c:v>
                </c:pt>
                <c:pt idx="8">
                  <c:v>1741</c:v>
                </c:pt>
                <c:pt idx="9">
                  <c:v>3213</c:v>
                </c:pt>
                <c:pt idx="10">
                  <c:v>5795</c:v>
                </c:pt>
                <c:pt idx="11">
                  <c:v>6920</c:v>
                </c:pt>
                <c:pt idx="12">
                  <c:v>1513</c:v>
                </c:pt>
                <c:pt idx="13">
                  <c:v>5520</c:v>
                </c:pt>
                <c:pt idx="14">
                  <c:v>7442</c:v>
                </c:pt>
                <c:pt idx="15">
                  <c:v>7224</c:v>
                </c:pt>
                <c:pt idx="16">
                  <c:v>1309</c:v>
                </c:pt>
                <c:pt idx="17">
                  <c:v>8361</c:v>
                </c:pt>
                <c:pt idx="18">
                  <c:v>2421</c:v>
                </c:pt>
                <c:pt idx="19">
                  <c:v>7767</c:v>
                </c:pt>
                <c:pt idx="20">
                  <c:v>7565</c:v>
                </c:pt>
                <c:pt idx="21">
                  <c:v>6439</c:v>
                </c:pt>
                <c:pt idx="22">
                  <c:v>7218</c:v>
                </c:pt>
                <c:pt idx="23">
                  <c:v>1017</c:v>
                </c:pt>
                <c:pt idx="24">
                  <c:v>5206</c:v>
                </c:pt>
                <c:pt idx="25">
                  <c:v>8485</c:v>
                </c:pt>
                <c:pt idx="26">
                  <c:v>1369</c:v>
                </c:pt>
                <c:pt idx="27">
                  <c:v>6642</c:v>
                </c:pt>
                <c:pt idx="28">
                  <c:v>3592</c:v>
                </c:pt>
                <c:pt idx="29">
                  <c:v>1367</c:v>
                </c:pt>
                <c:pt idx="30">
                  <c:v>8200</c:v>
                </c:pt>
                <c:pt idx="31">
                  <c:v>9254</c:v>
                </c:pt>
                <c:pt idx="32">
                  <c:v>7471</c:v>
                </c:pt>
                <c:pt idx="33">
                  <c:v>8518</c:v>
                </c:pt>
                <c:pt idx="34">
                  <c:v>7260</c:v>
                </c:pt>
                <c:pt idx="35">
                  <c:v>3805</c:v>
                </c:pt>
                <c:pt idx="36">
                  <c:v>3420</c:v>
                </c:pt>
                <c:pt idx="37">
                  <c:v>1290</c:v>
                </c:pt>
                <c:pt idx="38">
                  <c:v>9125</c:v>
                </c:pt>
                <c:pt idx="39">
                  <c:v>6631</c:v>
                </c:pt>
                <c:pt idx="40">
                  <c:v>8723</c:v>
                </c:pt>
                <c:pt idx="41">
                  <c:v>7509</c:v>
                </c:pt>
                <c:pt idx="42">
                  <c:v>9044</c:v>
                </c:pt>
                <c:pt idx="43">
                  <c:v>6272</c:v>
                </c:pt>
                <c:pt idx="44">
                  <c:v>6434</c:v>
                </c:pt>
                <c:pt idx="45">
                  <c:v>7849</c:v>
                </c:pt>
                <c:pt idx="46">
                  <c:v>5491</c:v>
                </c:pt>
                <c:pt idx="47">
                  <c:v>1512</c:v>
                </c:pt>
                <c:pt idx="48">
                  <c:v>893</c:v>
                </c:pt>
                <c:pt idx="49">
                  <c:v>2805</c:v>
                </c:pt>
              </c:numCache>
            </c:numRef>
          </c:xVal>
          <c:yVal>
            <c:numRef>
              <c:f>'Ad Spend vs Follower Growth'!$B$2:$B$201</c:f>
              <c:numCache>
                <c:formatCode>General</c:formatCode>
                <c:ptCount val="50"/>
                <c:pt idx="0">
                  <c:v>23944</c:v>
                </c:pt>
                <c:pt idx="1">
                  <c:v>29873</c:v>
                </c:pt>
                <c:pt idx="2">
                  <c:v>50372</c:v>
                </c:pt>
                <c:pt idx="3">
                  <c:v>33928</c:v>
                </c:pt>
                <c:pt idx="4">
                  <c:v>25379</c:v>
                </c:pt>
                <c:pt idx="5">
                  <c:v>46751</c:v>
                </c:pt>
                <c:pt idx="6">
                  <c:v>44546</c:v>
                </c:pt>
                <c:pt idx="7">
                  <c:v>34286</c:v>
                </c:pt>
                <c:pt idx="8">
                  <c:v>15110</c:v>
                </c:pt>
                <c:pt idx="9">
                  <c:v>22087</c:v>
                </c:pt>
                <c:pt idx="10">
                  <c:v>33762</c:v>
                </c:pt>
                <c:pt idx="11">
                  <c:v>27081</c:v>
                </c:pt>
                <c:pt idx="12">
                  <c:v>44947</c:v>
                </c:pt>
                <c:pt idx="13">
                  <c:v>19596</c:v>
                </c:pt>
                <c:pt idx="14">
                  <c:v>48019</c:v>
                </c:pt>
                <c:pt idx="15">
                  <c:v>52003</c:v>
                </c:pt>
                <c:pt idx="16">
                  <c:v>28313</c:v>
                </c:pt>
                <c:pt idx="17">
                  <c:v>57639</c:v>
                </c:pt>
                <c:pt idx="18">
                  <c:v>11013</c:v>
                </c:pt>
                <c:pt idx="19">
                  <c:v>59378</c:v>
                </c:pt>
                <c:pt idx="20">
                  <c:v>33705</c:v>
                </c:pt>
                <c:pt idx="21">
                  <c:v>11828</c:v>
                </c:pt>
                <c:pt idx="22">
                  <c:v>17909</c:v>
                </c:pt>
                <c:pt idx="23">
                  <c:v>48356</c:v>
                </c:pt>
                <c:pt idx="24">
                  <c:v>23109</c:v>
                </c:pt>
                <c:pt idx="25">
                  <c:v>12023</c:v>
                </c:pt>
                <c:pt idx="26">
                  <c:v>24537</c:v>
                </c:pt>
                <c:pt idx="27">
                  <c:v>36661</c:v>
                </c:pt>
                <c:pt idx="28">
                  <c:v>48659</c:v>
                </c:pt>
                <c:pt idx="29">
                  <c:v>43848</c:v>
                </c:pt>
                <c:pt idx="30">
                  <c:v>47804</c:v>
                </c:pt>
                <c:pt idx="31">
                  <c:v>25379</c:v>
                </c:pt>
                <c:pt idx="32">
                  <c:v>37766</c:v>
                </c:pt>
                <c:pt idx="33">
                  <c:v>53590</c:v>
                </c:pt>
                <c:pt idx="34">
                  <c:v>12563</c:v>
                </c:pt>
                <c:pt idx="35">
                  <c:v>46060</c:v>
                </c:pt>
                <c:pt idx="36">
                  <c:v>39197</c:v>
                </c:pt>
                <c:pt idx="37">
                  <c:v>13586</c:v>
                </c:pt>
                <c:pt idx="38">
                  <c:v>26087</c:v>
                </c:pt>
                <c:pt idx="39">
                  <c:v>58868</c:v>
                </c:pt>
                <c:pt idx="40">
                  <c:v>33225</c:v>
                </c:pt>
                <c:pt idx="41">
                  <c:v>39750</c:v>
                </c:pt>
                <c:pt idx="42">
                  <c:v>16643</c:v>
                </c:pt>
                <c:pt idx="43">
                  <c:v>37523</c:v>
                </c:pt>
                <c:pt idx="44">
                  <c:v>46727</c:v>
                </c:pt>
                <c:pt idx="45">
                  <c:v>21005</c:v>
                </c:pt>
                <c:pt idx="46">
                  <c:v>53543</c:v>
                </c:pt>
                <c:pt idx="47">
                  <c:v>10161</c:v>
                </c:pt>
                <c:pt idx="48">
                  <c:v>26029</c:v>
                </c:pt>
                <c:pt idx="49">
                  <c:v>41703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02-484E-BF78-471916EE9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3135520"/>
        <c:axId val="763136000"/>
      </c:scatterChart>
      <c:valAx>
        <c:axId val="76313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Net_Followers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136000"/>
        <c:crosses val="autoZero"/>
        <c:crossBetween val="midCat"/>
      </c:valAx>
      <c:valAx>
        <c:axId val="76313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Ad_Spend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135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[Task_6_Follower Retention &amp; Loyalty.xlsx]weekly follower growth!PivotTable17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Weekly Follower Growth by PlatformChart Title</a:t>
            </a:r>
          </a:p>
        </c:rich>
      </c:tx>
      <c:layout>
        <c:manualLayout>
          <c:xMode val="edge"/>
          <c:yMode val="edge"/>
          <c:x val="0.26327762302692664"/>
          <c:y val="2.0103376648471085E-2"/>
        </c:manualLayout>
      </c:layout>
      <c:overlay val="0"/>
      <c:spPr>
        <a:solidFill>
          <a:schemeClr val="accent4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4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4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4"/>
          <c:spPr>
            <a:solidFill>
              <a:srgbClr val="FF0000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4"/>
          <c:spPr>
            <a:solidFill>
              <a:srgbClr val="FF0000"/>
            </a:solidFill>
            <a:ln w="9525">
              <a:solidFill>
                <a:schemeClr val="accent4"/>
              </a:solidFill>
              <a:headEnd type="triangle"/>
            </a:ln>
            <a:effectLst/>
            <a:scene3d>
              <a:camera prst="orthographicFront"/>
              <a:lightRig rig="threePt" dir="t"/>
            </a:scene3d>
            <a:sp3d>
              <a:bevelT w="25400" h="38100"/>
              <a:bevelB w="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pPr>
            <a:solidFill>
              <a:srgbClr val="FF0000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"/>
        <c:marker>
          <c:symbol val="circle"/>
          <c:size val="3"/>
        </c:marker>
      </c:pivotFmt>
      <c:pivotFmt>
        <c:idx val="6"/>
        <c:spPr>
          <a:ln w="31750" cap="rnd">
            <a:solidFill>
              <a:schemeClr val="accent3"/>
            </a:solidFill>
            <a:round/>
          </a:ln>
          <a:effectLst/>
        </c:spPr>
        <c:marker>
          <c:symbol val="square"/>
          <c:size val="4"/>
          <c:spPr>
            <a:solidFill>
              <a:srgbClr val="FF0000"/>
            </a:solidFill>
            <a:ln w="9525">
              <a:solidFill>
                <a:schemeClr val="accent3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7402537182852143"/>
          <c:y val="0.12397929425488481"/>
          <c:w val="0.65869663167104109"/>
          <c:h val="0.51498906386701659"/>
        </c:manualLayout>
      </c:layout>
      <c:lineChart>
        <c:grouping val="stacked"/>
        <c:varyColors val="0"/>
        <c:ser>
          <c:idx val="0"/>
          <c:order val="0"/>
          <c:tx>
            <c:strRef>
              <c:f>'weekly follower growth'!$B$3:$B$4</c:f>
              <c:strCache>
                <c:ptCount val="1"/>
                <c:pt idx="0">
                  <c:v>Instagram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'weekly follower growth'!$A$5:$A$14</c:f>
              <c:strCache>
                <c:ptCount val="10"/>
                <c:pt idx="0">
                  <c:v>03-06-2024</c:v>
                </c:pt>
                <c:pt idx="1">
                  <c:v>19-08-2024</c:v>
                </c:pt>
                <c:pt idx="2">
                  <c:v>22-07-2024</c:v>
                </c:pt>
                <c:pt idx="3">
                  <c:v>05-08-2024</c:v>
                </c:pt>
                <c:pt idx="4">
                  <c:v>12-08-2024</c:v>
                </c:pt>
                <c:pt idx="5">
                  <c:v>24-06-2024</c:v>
                </c:pt>
                <c:pt idx="6">
                  <c:v>29-07-2024</c:v>
                </c:pt>
                <c:pt idx="7">
                  <c:v>10-06-2024</c:v>
                </c:pt>
                <c:pt idx="8">
                  <c:v>15-07-2024</c:v>
                </c:pt>
                <c:pt idx="9">
                  <c:v>08-07-2024</c:v>
                </c:pt>
              </c:strCache>
            </c:strRef>
          </c:cat>
          <c:val>
            <c:numRef>
              <c:f>'weekly follower growth'!$B$5:$B$14</c:f>
              <c:numCache>
                <c:formatCode>General</c:formatCode>
                <c:ptCount val="10"/>
                <c:pt idx="0">
                  <c:v>3777</c:v>
                </c:pt>
                <c:pt idx="1">
                  <c:v>11925</c:v>
                </c:pt>
                <c:pt idx="2">
                  <c:v>0</c:v>
                </c:pt>
                <c:pt idx="3">
                  <c:v>3420</c:v>
                </c:pt>
                <c:pt idx="4">
                  <c:v>7509</c:v>
                </c:pt>
                <c:pt idx="5">
                  <c:v>5520</c:v>
                </c:pt>
                <c:pt idx="6">
                  <c:v>0</c:v>
                </c:pt>
                <c:pt idx="7">
                  <c:v>5442</c:v>
                </c:pt>
                <c:pt idx="8">
                  <c:v>11848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4B-4526-88CC-DE26D733721F}"/>
            </c:ext>
          </c:extLst>
        </c:ser>
        <c:ser>
          <c:idx val="1"/>
          <c:order val="1"/>
          <c:tx>
            <c:strRef>
              <c:f>'weekly follower growth'!$C$3:$C$4</c:f>
              <c:strCache>
                <c:ptCount val="1"/>
                <c:pt idx="0">
                  <c:v>LinkedIn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'weekly follower growth'!$A$5:$A$14</c:f>
              <c:strCache>
                <c:ptCount val="10"/>
                <c:pt idx="0">
                  <c:v>03-06-2024</c:v>
                </c:pt>
                <c:pt idx="1">
                  <c:v>19-08-2024</c:v>
                </c:pt>
                <c:pt idx="2">
                  <c:v>22-07-2024</c:v>
                </c:pt>
                <c:pt idx="3">
                  <c:v>05-08-2024</c:v>
                </c:pt>
                <c:pt idx="4">
                  <c:v>12-08-2024</c:v>
                </c:pt>
                <c:pt idx="5">
                  <c:v>24-06-2024</c:v>
                </c:pt>
                <c:pt idx="6">
                  <c:v>29-07-2024</c:v>
                </c:pt>
                <c:pt idx="7">
                  <c:v>10-06-2024</c:v>
                </c:pt>
                <c:pt idx="8">
                  <c:v>15-07-2024</c:v>
                </c:pt>
                <c:pt idx="9">
                  <c:v>08-07-2024</c:v>
                </c:pt>
              </c:strCache>
            </c:strRef>
          </c:cat>
          <c:val>
            <c:numRef>
              <c:f>'weekly follower growth'!$C$5:$C$14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11792</c:v>
                </c:pt>
                <c:pt idx="3">
                  <c:v>6631</c:v>
                </c:pt>
                <c:pt idx="4">
                  <c:v>0</c:v>
                </c:pt>
                <c:pt idx="5">
                  <c:v>0</c:v>
                </c:pt>
                <c:pt idx="6">
                  <c:v>15989</c:v>
                </c:pt>
                <c:pt idx="7">
                  <c:v>0</c:v>
                </c:pt>
                <c:pt idx="8">
                  <c:v>0</c:v>
                </c:pt>
                <c:pt idx="9">
                  <c:v>14674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4B-4526-88CC-DE26D733721F}"/>
            </c:ext>
          </c:extLst>
        </c:ser>
        <c:ser>
          <c:idx val="2"/>
          <c:order val="2"/>
          <c:tx>
            <c:strRef>
              <c:f>'weekly follower growth'!$D$3:$D$4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rgbClr val="FF000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6"/>
            <c:marker>
              <c:symbol val="square"/>
              <c:size val="4"/>
              <c:spPr>
                <a:solidFill>
                  <a:srgbClr val="FF0000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31750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66D-477C-91E6-FACD56ED9F06}"/>
              </c:ext>
            </c:extLst>
          </c:dPt>
          <c:cat>
            <c:strRef>
              <c:f>'weekly follower growth'!$A$5:$A$14</c:f>
              <c:strCache>
                <c:ptCount val="10"/>
                <c:pt idx="0">
                  <c:v>03-06-2024</c:v>
                </c:pt>
                <c:pt idx="1">
                  <c:v>19-08-2024</c:v>
                </c:pt>
                <c:pt idx="2">
                  <c:v>22-07-2024</c:v>
                </c:pt>
                <c:pt idx="3">
                  <c:v>05-08-2024</c:v>
                </c:pt>
                <c:pt idx="4">
                  <c:v>12-08-2024</c:v>
                </c:pt>
                <c:pt idx="5">
                  <c:v>24-06-2024</c:v>
                </c:pt>
                <c:pt idx="6">
                  <c:v>29-07-2024</c:v>
                </c:pt>
                <c:pt idx="7">
                  <c:v>10-06-2024</c:v>
                </c:pt>
                <c:pt idx="8">
                  <c:v>15-07-2024</c:v>
                </c:pt>
                <c:pt idx="9">
                  <c:v>08-07-2024</c:v>
                </c:pt>
              </c:strCache>
            </c:strRef>
          </c:cat>
          <c:val>
            <c:numRef>
              <c:f>'weekly follower growth'!$D$5:$D$14</c:f>
              <c:numCache>
                <c:formatCode>General</c:formatCode>
                <c:ptCount val="10"/>
                <c:pt idx="0">
                  <c:v>7215</c:v>
                </c:pt>
                <c:pt idx="1">
                  <c:v>0</c:v>
                </c:pt>
                <c:pt idx="2">
                  <c:v>1367</c:v>
                </c:pt>
                <c:pt idx="3">
                  <c:v>1290</c:v>
                </c:pt>
                <c:pt idx="4">
                  <c:v>14995</c:v>
                </c:pt>
                <c:pt idx="5">
                  <c:v>8737</c:v>
                </c:pt>
                <c:pt idx="6">
                  <c:v>3805</c:v>
                </c:pt>
                <c:pt idx="7">
                  <c:v>11015</c:v>
                </c:pt>
                <c:pt idx="8">
                  <c:v>8485</c:v>
                </c:pt>
                <c:pt idx="9">
                  <c:v>7565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4B-4526-88CC-DE26D733721F}"/>
            </c:ext>
          </c:extLst>
        </c:ser>
        <c:ser>
          <c:idx val="3"/>
          <c:order val="3"/>
          <c:tx>
            <c:strRef>
              <c:f>'weekly follower growth'!$E$3:$E$4</c:f>
              <c:strCache>
                <c:ptCount val="1"/>
                <c:pt idx="0">
                  <c:v>YouTube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square"/>
            <c:size val="4"/>
            <c:spPr>
              <a:solidFill>
                <a:srgbClr val="FF0000"/>
              </a:solidFill>
              <a:ln w="9525">
                <a:solidFill>
                  <a:schemeClr val="accent4"/>
                </a:solidFill>
                <a:headEnd type="triangle"/>
              </a:ln>
              <a:effectLst/>
              <a:scene3d>
                <a:camera prst="orthographicFront"/>
                <a:lightRig rig="threePt" dir="t"/>
              </a:scene3d>
              <a:sp3d>
                <a:bevelT w="25400" h="38100"/>
                <a:bevelB w="0"/>
              </a:sp3d>
            </c:spPr>
          </c:marker>
          <c:cat>
            <c:strRef>
              <c:f>'weekly follower growth'!$A$5:$A$14</c:f>
              <c:strCache>
                <c:ptCount val="10"/>
                <c:pt idx="0">
                  <c:v>03-06-2024</c:v>
                </c:pt>
                <c:pt idx="1">
                  <c:v>19-08-2024</c:v>
                </c:pt>
                <c:pt idx="2">
                  <c:v>22-07-2024</c:v>
                </c:pt>
                <c:pt idx="3">
                  <c:v>05-08-2024</c:v>
                </c:pt>
                <c:pt idx="4">
                  <c:v>12-08-2024</c:v>
                </c:pt>
                <c:pt idx="5">
                  <c:v>24-06-2024</c:v>
                </c:pt>
                <c:pt idx="6">
                  <c:v>29-07-2024</c:v>
                </c:pt>
                <c:pt idx="7">
                  <c:v>10-06-2024</c:v>
                </c:pt>
                <c:pt idx="8">
                  <c:v>15-07-2024</c:v>
                </c:pt>
                <c:pt idx="9">
                  <c:v>08-07-2024</c:v>
                </c:pt>
              </c:strCache>
            </c:strRef>
          </c:cat>
          <c:val>
            <c:numRef>
              <c:f>'weekly follower growth'!$E$5:$E$14</c:f>
              <c:numCache>
                <c:formatCode>General</c:formatCode>
                <c:ptCount val="10"/>
                <c:pt idx="0">
                  <c:v>16106</c:v>
                </c:pt>
                <c:pt idx="1">
                  <c:v>9361</c:v>
                </c:pt>
                <c:pt idx="2">
                  <c:v>9254</c:v>
                </c:pt>
                <c:pt idx="3">
                  <c:v>9125</c:v>
                </c:pt>
                <c:pt idx="4">
                  <c:v>9044</c:v>
                </c:pt>
                <c:pt idx="5">
                  <c:v>7442</c:v>
                </c:pt>
                <c:pt idx="6">
                  <c:v>7260</c:v>
                </c:pt>
                <c:pt idx="7">
                  <c:v>7151</c:v>
                </c:pt>
                <c:pt idx="8">
                  <c:v>1369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B4B-4526-88CC-DE26D7337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8506479"/>
        <c:axId val="848505999"/>
      </c:lineChart>
      <c:catAx>
        <c:axId val="8485064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505999"/>
        <c:crosses val="autoZero"/>
        <c:auto val="1"/>
        <c:lblAlgn val="ctr"/>
        <c:lblOffset val="100"/>
        <c:noMultiLvlLbl val="0"/>
      </c:catAx>
      <c:valAx>
        <c:axId val="84850599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50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994650246121365"/>
          <c:y val="0.29153374233128837"/>
          <c:w val="0.10115670038576138"/>
          <c:h val="0.429570552147239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20" baseline="0">
                <a:solidFill>
                  <a:schemeClr val="accent2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chemeClr val="accent2">
                    <a:lumMod val="75000"/>
                  </a:schemeClr>
                </a:solidFill>
              </a:rPr>
              <a:t>Follower Growth Moving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20" baseline="0">
              <a:solidFill>
                <a:schemeClr val="accent2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Moving_Avg!$B$1</c:f>
              <c:strCache>
                <c:ptCount val="1"/>
                <c:pt idx="0">
                  <c:v>Net_Followers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Moving_Avg!$A$2:$A$201</c:f>
              <c:numCache>
                <c:formatCode>m/d/yyyy</c:formatCode>
                <c:ptCount val="46"/>
                <c:pt idx="0">
                  <c:v>45446</c:v>
                </c:pt>
                <c:pt idx="1">
                  <c:v>45446</c:v>
                </c:pt>
                <c:pt idx="2">
                  <c:v>45446</c:v>
                </c:pt>
                <c:pt idx="3">
                  <c:v>45446</c:v>
                </c:pt>
                <c:pt idx="4">
                  <c:v>45453</c:v>
                </c:pt>
                <c:pt idx="5">
                  <c:v>45453</c:v>
                </c:pt>
                <c:pt idx="6">
                  <c:v>45453</c:v>
                </c:pt>
                <c:pt idx="7">
                  <c:v>45453</c:v>
                </c:pt>
                <c:pt idx="8">
                  <c:v>45460</c:v>
                </c:pt>
                <c:pt idx="9">
                  <c:v>45460</c:v>
                </c:pt>
                <c:pt idx="10">
                  <c:v>45460</c:v>
                </c:pt>
                <c:pt idx="11">
                  <c:v>45460</c:v>
                </c:pt>
                <c:pt idx="12">
                  <c:v>45467</c:v>
                </c:pt>
                <c:pt idx="13">
                  <c:v>45467</c:v>
                </c:pt>
                <c:pt idx="14">
                  <c:v>45467</c:v>
                </c:pt>
                <c:pt idx="15">
                  <c:v>45467</c:v>
                </c:pt>
                <c:pt idx="16">
                  <c:v>45474</c:v>
                </c:pt>
                <c:pt idx="17">
                  <c:v>45474</c:v>
                </c:pt>
                <c:pt idx="18">
                  <c:v>45474</c:v>
                </c:pt>
                <c:pt idx="19">
                  <c:v>45474</c:v>
                </c:pt>
                <c:pt idx="20">
                  <c:v>45481</c:v>
                </c:pt>
                <c:pt idx="21">
                  <c:v>45481</c:v>
                </c:pt>
                <c:pt idx="22">
                  <c:v>45481</c:v>
                </c:pt>
                <c:pt idx="23">
                  <c:v>45481</c:v>
                </c:pt>
                <c:pt idx="24">
                  <c:v>45488</c:v>
                </c:pt>
                <c:pt idx="25">
                  <c:v>45488</c:v>
                </c:pt>
                <c:pt idx="26">
                  <c:v>45488</c:v>
                </c:pt>
                <c:pt idx="27">
                  <c:v>45488</c:v>
                </c:pt>
                <c:pt idx="28">
                  <c:v>45495</c:v>
                </c:pt>
                <c:pt idx="29">
                  <c:v>45495</c:v>
                </c:pt>
                <c:pt idx="30">
                  <c:v>45495</c:v>
                </c:pt>
                <c:pt idx="31">
                  <c:v>45495</c:v>
                </c:pt>
                <c:pt idx="32">
                  <c:v>45502</c:v>
                </c:pt>
                <c:pt idx="33">
                  <c:v>45502</c:v>
                </c:pt>
                <c:pt idx="34">
                  <c:v>45502</c:v>
                </c:pt>
                <c:pt idx="35">
                  <c:v>45502</c:v>
                </c:pt>
                <c:pt idx="36">
                  <c:v>45509</c:v>
                </c:pt>
                <c:pt idx="37">
                  <c:v>45509</c:v>
                </c:pt>
                <c:pt idx="38">
                  <c:v>45509</c:v>
                </c:pt>
                <c:pt idx="39">
                  <c:v>45509</c:v>
                </c:pt>
                <c:pt idx="40">
                  <c:v>45516</c:v>
                </c:pt>
                <c:pt idx="41">
                  <c:v>45516</c:v>
                </c:pt>
                <c:pt idx="42">
                  <c:v>45516</c:v>
                </c:pt>
                <c:pt idx="43">
                  <c:v>45516</c:v>
                </c:pt>
                <c:pt idx="44">
                  <c:v>45523</c:v>
                </c:pt>
                <c:pt idx="45">
                  <c:v>45523</c:v>
                </c:pt>
              </c:numCache>
            </c:numRef>
          </c:cat>
          <c:val>
            <c:numRef>
              <c:f>Moving_Avg!$B$2:$B$201</c:f>
              <c:numCache>
                <c:formatCode>General</c:formatCode>
                <c:ptCount val="46"/>
                <c:pt idx="0">
                  <c:v>5442</c:v>
                </c:pt>
                <c:pt idx="1">
                  <c:v>7442</c:v>
                </c:pt>
                <c:pt idx="2">
                  <c:v>7565</c:v>
                </c:pt>
                <c:pt idx="3">
                  <c:v>7260</c:v>
                </c:pt>
                <c:pt idx="4">
                  <c:v>1309</c:v>
                </c:pt>
                <c:pt idx="5">
                  <c:v>6439</c:v>
                </c:pt>
                <c:pt idx="6">
                  <c:v>9254</c:v>
                </c:pt>
                <c:pt idx="7">
                  <c:v>3420</c:v>
                </c:pt>
                <c:pt idx="8">
                  <c:v>7218</c:v>
                </c:pt>
                <c:pt idx="9">
                  <c:v>3592</c:v>
                </c:pt>
                <c:pt idx="10">
                  <c:v>9125</c:v>
                </c:pt>
                <c:pt idx="11">
                  <c:v>7509</c:v>
                </c:pt>
                <c:pt idx="12">
                  <c:v>7224</c:v>
                </c:pt>
                <c:pt idx="13">
                  <c:v>2421</c:v>
                </c:pt>
                <c:pt idx="14">
                  <c:v>1367</c:v>
                </c:pt>
                <c:pt idx="15">
                  <c:v>9044</c:v>
                </c:pt>
                <c:pt idx="16">
                  <c:v>7429</c:v>
                </c:pt>
                <c:pt idx="17">
                  <c:v>5795</c:v>
                </c:pt>
                <c:pt idx="18">
                  <c:v>8723</c:v>
                </c:pt>
                <c:pt idx="19">
                  <c:v>5491</c:v>
                </c:pt>
                <c:pt idx="20">
                  <c:v>6920</c:v>
                </c:pt>
                <c:pt idx="21">
                  <c:v>7767</c:v>
                </c:pt>
                <c:pt idx="22">
                  <c:v>8485</c:v>
                </c:pt>
                <c:pt idx="23">
                  <c:v>893</c:v>
                </c:pt>
                <c:pt idx="24">
                  <c:v>3586</c:v>
                </c:pt>
                <c:pt idx="25">
                  <c:v>1017</c:v>
                </c:pt>
                <c:pt idx="26">
                  <c:v>7471</c:v>
                </c:pt>
                <c:pt idx="27">
                  <c:v>6434</c:v>
                </c:pt>
                <c:pt idx="28">
                  <c:v>3777</c:v>
                </c:pt>
                <c:pt idx="29">
                  <c:v>1741</c:v>
                </c:pt>
                <c:pt idx="30">
                  <c:v>3805</c:v>
                </c:pt>
                <c:pt idx="31">
                  <c:v>7849</c:v>
                </c:pt>
                <c:pt idx="32">
                  <c:v>7151</c:v>
                </c:pt>
                <c:pt idx="33">
                  <c:v>5520</c:v>
                </c:pt>
                <c:pt idx="34">
                  <c:v>8361</c:v>
                </c:pt>
                <c:pt idx="35">
                  <c:v>8518</c:v>
                </c:pt>
                <c:pt idx="36">
                  <c:v>7215</c:v>
                </c:pt>
                <c:pt idx="37">
                  <c:v>5206</c:v>
                </c:pt>
                <c:pt idx="38">
                  <c:v>1290</c:v>
                </c:pt>
                <c:pt idx="39">
                  <c:v>1512</c:v>
                </c:pt>
                <c:pt idx="40">
                  <c:v>7452</c:v>
                </c:pt>
                <c:pt idx="41">
                  <c:v>8654</c:v>
                </c:pt>
                <c:pt idx="42">
                  <c:v>1513</c:v>
                </c:pt>
                <c:pt idx="43">
                  <c:v>6642</c:v>
                </c:pt>
                <c:pt idx="44">
                  <c:v>3213</c:v>
                </c:pt>
                <c:pt idx="45">
                  <c:v>1369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C9-4E98-A2FD-001CA16C434C}"/>
            </c:ext>
          </c:extLst>
        </c:ser>
        <c:ser>
          <c:idx val="1"/>
          <c:order val="1"/>
          <c:tx>
            <c:strRef>
              <c:f>Moving_Avg!$C$1</c:f>
              <c:strCache>
                <c:ptCount val="1"/>
                <c:pt idx="0">
                  <c:v>Moving_avg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Moving_Avg!$A$2:$A$201</c:f>
              <c:numCache>
                <c:formatCode>m/d/yyyy</c:formatCode>
                <c:ptCount val="46"/>
                <c:pt idx="0">
                  <c:v>45446</c:v>
                </c:pt>
                <c:pt idx="1">
                  <c:v>45446</c:v>
                </c:pt>
                <c:pt idx="2">
                  <c:v>45446</c:v>
                </c:pt>
                <c:pt idx="3">
                  <c:v>45446</c:v>
                </c:pt>
                <c:pt idx="4">
                  <c:v>45453</c:v>
                </c:pt>
                <c:pt idx="5">
                  <c:v>45453</c:v>
                </c:pt>
                <c:pt idx="6">
                  <c:v>45453</c:v>
                </c:pt>
                <c:pt idx="7">
                  <c:v>45453</c:v>
                </c:pt>
                <c:pt idx="8">
                  <c:v>45460</c:v>
                </c:pt>
                <c:pt idx="9">
                  <c:v>45460</c:v>
                </c:pt>
                <c:pt idx="10">
                  <c:v>45460</c:v>
                </c:pt>
                <c:pt idx="11">
                  <c:v>45460</c:v>
                </c:pt>
                <c:pt idx="12">
                  <c:v>45467</c:v>
                </c:pt>
                <c:pt idx="13">
                  <c:v>45467</c:v>
                </c:pt>
                <c:pt idx="14">
                  <c:v>45467</c:v>
                </c:pt>
                <c:pt idx="15">
                  <c:v>45467</c:v>
                </c:pt>
                <c:pt idx="16">
                  <c:v>45474</c:v>
                </c:pt>
                <c:pt idx="17">
                  <c:v>45474</c:v>
                </c:pt>
                <c:pt idx="18">
                  <c:v>45474</c:v>
                </c:pt>
                <c:pt idx="19">
                  <c:v>45474</c:v>
                </c:pt>
                <c:pt idx="20">
                  <c:v>45481</c:v>
                </c:pt>
                <c:pt idx="21">
                  <c:v>45481</c:v>
                </c:pt>
                <c:pt idx="22">
                  <c:v>45481</c:v>
                </c:pt>
                <c:pt idx="23">
                  <c:v>45481</c:v>
                </c:pt>
                <c:pt idx="24">
                  <c:v>45488</c:v>
                </c:pt>
                <c:pt idx="25">
                  <c:v>45488</c:v>
                </c:pt>
                <c:pt idx="26">
                  <c:v>45488</c:v>
                </c:pt>
                <c:pt idx="27">
                  <c:v>45488</c:v>
                </c:pt>
                <c:pt idx="28">
                  <c:v>45495</c:v>
                </c:pt>
                <c:pt idx="29">
                  <c:v>45495</c:v>
                </c:pt>
                <c:pt idx="30">
                  <c:v>45495</c:v>
                </c:pt>
                <c:pt idx="31">
                  <c:v>45495</c:v>
                </c:pt>
                <c:pt idx="32">
                  <c:v>45502</c:v>
                </c:pt>
                <c:pt idx="33">
                  <c:v>45502</c:v>
                </c:pt>
                <c:pt idx="34">
                  <c:v>45502</c:v>
                </c:pt>
                <c:pt idx="35">
                  <c:v>45502</c:v>
                </c:pt>
                <c:pt idx="36">
                  <c:v>45509</c:v>
                </c:pt>
                <c:pt idx="37">
                  <c:v>45509</c:v>
                </c:pt>
                <c:pt idx="38">
                  <c:v>45509</c:v>
                </c:pt>
                <c:pt idx="39">
                  <c:v>45509</c:v>
                </c:pt>
                <c:pt idx="40">
                  <c:v>45516</c:v>
                </c:pt>
                <c:pt idx="41">
                  <c:v>45516</c:v>
                </c:pt>
                <c:pt idx="42">
                  <c:v>45516</c:v>
                </c:pt>
                <c:pt idx="43">
                  <c:v>45516</c:v>
                </c:pt>
                <c:pt idx="44">
                  <c:v>45523</c:v>
                </c:pt>
                <c:pt idx="45">
                  <c:v>45523</c:v>
                </c:pt>
              </c:numCache>
            </c:numRef>
          </c:cat>
          <c:val>
            <c:numRef>
              <c:f>Moving_Avg!$C$2:$C$201</c:f>
              <c:numCache>
                <c:formatCode>General</c:formatCode>
                <c:ptCount val="46"/>
                <c:pt idx="0">
                  <c:v>6816.333333333333</c:v>
                </c:pt>
                <c:pt idx="1">
                  <c:v>7422.333333333333</c:v>
                </c:pt>
                <c:pt idx="2">
                  <c:v>5378</c:v>
                </c:pt>
                <c:pt idx="3">
                  <c:v>5002.666666666667</c:v>
                </c:pt>
                <c:pt idx="4">
                  <c:v>5667.333333333333</c:v>
                </c:pt>
                <c:pt idx="5">
                  <c:v>6371</c:v>
                </c:pt>
                <c:pt idx="6">
                  <c:v>6630.666666666667</c:v>
                </c:pt>
                <c:pt idx="7">
                  <c:v>4743.333333333333</c:v>
                </c:pt>
                <c:pt idx="8">
                  <c:v>6645</c:v>
                </c:pt>
                <c:pt idx="9">
                  <c:v>6742</c:v>
                </c:pt>
                <c:pt idx="10">
                  <c:v>7952.666666666667</c:v>
                </c:pt>
                <c:pt idx="11">
                  <c:v>5718</c:v>
                </c:pt>
                <c:pt idx="12">
                  <c:v>3670.6666666666665</c:v>
                </c:pt>
                <c:pt idx="13">
                  <c:v>4277.333333333333</c:v>
                </c:pt>
                <c:pt idx="14">
                  <c:v>5946.666666666667</c:v>
                </c:pt>
                <c:pt idx="15">
                  <c:v>7422.666666666667</c:v>
                </c:pt>
                <c:pt idx="16">
                  <c:v>7315.666666666667</c:v>
                </c:pt>
                <c:pt idx="17">
                  <c:v>6669.666666666667</c:v>
                </c:pt>
                <c:pt idx="18">
                  <c:v>7044.666666666667</c:v>
                </c:pt>
                <c:pt idx="19">
                  <c:v>6726</c:v>
                </c:pt>
                <c:pt idx="20">
                  <c:v>7724</c:v>
                </c:pt>
                <c:pt idx="21">
                  <c:v>5715</c:v>
                </c:pt>
                <c:pt idx="22">
                  <c:v>4321.333333333333</c:v>
                </c:pt>
                <c:pt idx="23">
                  <c:v>1832</c:v>
                </c:pt>
                <c:pt idx="24">
                  <c:v>4024.6666666666665</c:v>
                </c:pt>
                <c:pt idx="25">
                  <c:v>4974</c:v>
                </c:pt>
                <c:pt idx="26">
                  <c:v>5894</c:v>
                </c:pt>
                <c:pt idx="27">
                  <c:v>3984</c:v>
                </c:pt>
                <c:pt idx="28">
                  <c:v>3107.6666666666665</c:v>
                </c:pt>
                <c:pt idx="29">
                  <c:v>4465</c:v>
                </c:pt>
                <c:pt idx="30">
                  <c:v>6268.333333333333</c:v>
                </c:pt>
                <c:pt idx="31">
                  <c:v>6840</c:v>
                </c:pt>
                <c:pt idx="32">
                  <c:v>7010.666666666667</c:v>
                </c:pt>
                <c:pt idx="33">
                  <c:v>7466.333333333333</c:v>
                </c:pt>
                <c:pt idx="34">
                  <c:v>8031.333333333333</c:v>
                </c:pt>
                <c:pt idx="35">
                  <c:v>6979.666666666667</c:v>
                </c:pt>
                <c:pt idx="36">
                  <c:v>4570.333333333333</c:v>
                </c:pt>
                <c:pt idx="37">
                  <c:v>2669.3333333333335</c:v>
                </c:pt>
                <c:pt idx="38">
                  <c:v>3418</c:v>
                </c:pt>
                <c:pt idx="39">
                  <c:v>5872.666666666667</c:v>
                </c:pt>
                <c:pt idx="40">
                  <c:v>5873</c:v>
                </c:pt>
                <c:pt idx="41">
                  <c:v>5603</c:v>
                </c:pt>
                <c:pt idx="42">
                  <c:v>3789.3333333333335</c:v>
                </c:pt>
                <c:pt idx="43">
                  <c:v>3741.3333333333335</c:v>
                </c:pt>
                <c:pt idx="44">
                  <c:v>4260.666666666667</c:v>
                </c:pt>
                <c:pt idx="45">
                  <c:v>5280.333333333333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C9-4E98-A2FD-001CA16C434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2112867152"/>
        <c:axId val="2112878672"/>
      </c:lineChart>
      <c:dateAx>
        <c:axId val="21128671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878672"/>
        <c:crosses val="autoZero"/>
        <c:auto val="1"/>
        <c:lblOffset val="100"/>
        <c:baseTimeUnit val="days"/>
      </c:dateAx>
      <c:valAx>
        <c:axId val="2112878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86715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487680</xdr:colOff>
      <xdr:row>1</xdr:row>
      <xdr:rowOff>160020</xdr:rowOff>
    </xdr:from>
    <xdr:to>
      <xdr:col>20</xdr:col>
      <xdr:colOff>38100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280853-52F1-F5B1-AD33-14FDB2DE8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441960</xdr:colOff>
      <xdr:row>1</xdr:row>
      <xdr:rowOff>129540</xdr:rowOff>
    </xdr:from>
    <xdr:to>
      <xdr:col>21</xdr:col>
      <xdr:colOff>99060</xdr:colOff>
      <xdr:row>23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FA620F-D7CA-B855-846B-CE6045B117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</xdr:row>
      <xdr:rowOff>45720</xdr:rowOff>
    </xdr:from>
    <xdr:to>
      <xdr:col>19</xdr:col>
      <xdr:colOff>259080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76B483-D003-2C93-86EC-140DAE5F76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xmi" refreshedDate="46149.982485763889" createdVersion="8" refreshedVersion="8" minRefreshableVersion="3" recordCount="200" xr:uid="{4886FE76-EB18-4032-8BDE-EEE166A6B628}">
  <cacheSource type="worksheet">
    <worksheetSource name="Engagement_Clean1"/>
  </cacheSource>
  <cacheFields count="12">
    <cacheField name="Week_Start_Date" numFmtId="14">
      <sharedItems containsSemiMixedTypes="0" containsNonDate="0" containsDate="1" containsString="0" minDate="2024-06-03T00:00:00" maxDate="2025-05-13T00:00:00" count="50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</sharedItems>
      <fieldGroup par="11"/>
    </cacheField>
    <cacheField name="Platform" numFmtId="0">
      <sharedItems count="4">
        <s v="Instagram"/>
        <s v="Twitter"/>
        <s v="YouTube"/>
        <s v="LinkedIn"/>
      </sharedItems>
    </cacheField>
    <cacheField name="New_Followers" numFmtId="0">
      <sharedItems containsSemiMixedTypes="0" containsString="0" containsNumber="1" containsInteger="1" minValue="1016" maxValue="9984"/>
    </cacheField>
    <cacheField name="Unfollows" numFmtId="0">
      <sharedItems containsSemiMixedTypes="0" containsString="0" containsNumber="1" containsInteger="1" minValue="67" maxValue="1417"/>
    </cacheField>
    <cacheField name="Net_Followers" numFmtId="0">
      <sharedItems containsString="0" containsBlank="1" containsNumber="1" containsInteger="1" minValue="893" maxValue="9254"/>
    </cacheField>
    <cacheField name="Total_Followers" numFmtId="0">
      <sharedItems containsSemiMixedTypes="0" containsString="0" containsNumber="1" containsInteger="1" minValue="103777" maxValue="1186398"/>
    </cacheField>
    <cacheField name="Engagement_Rate" numFmtId="10">
      <sharedItems containsSemiMixedTypes="0" containsString="0" containsNumber="1" minValue="0" maxValue="0.92312204605638049"/>
    </cacheField>
    <cacheField name="Campaign" numFmtId="0">
      <sharedItems/>
    </cacheField>
    <cacheField name="Ad_Spend" numFmtId="0">
      <sharedItems containsSemiMixedTypes="0" containsString="0" containsNumber="1" containsInteger="1" minValue="10161" maxValue="59823"/>
    </cacheField>
    <cacheField name="Months (Week_Start_Date)" numFmtId="0" databaseField="0">
      <fieldGroup base="0">
        <rangePr groupBy="months" startDate="2024-06-03T00:00:00" endDate="2025-05-13T00:00:00"/>
        <groupItems count="14">
          <s v="&lt;03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-05-2025"/>
        </groupItems>
      </fieldGroup>
    </cacheField>
    <cacheField name="Quarters (Week_Start_Date)" numFmtId="0" databaseField="0">
      <fieldGroup base="0">
        <rangePr groupBy="quarters" startDate="2024-06-03T00:00:00" endDate="2025-05-13T00:00:00"/>
        <groupItems count="6">
          <s v="&lt;03-06-2024"/>
          <s v="Qtr1"/>
          <s v="Qtr2"/>
          <s v="Qtr3"/>
          <s v="Qtr4"/>
          <s v="&gt;13-05-2025"/>
        </groupItems>
      </fieldGroup>
    </cacheField>
    <cacheField name="Years (Week_Start_Date)" numFmtId="0" databaseField="0">
      <fieldGroup base="0">
        <rangePr groupBy="years" startDate="2024-06-03T00:00:00" endDate="2025-05-13T00:00:00"/>
        <groupItems count="4">
          <s v="&lt;03-06-2024"/>
          <s v="2024"/>
          <s v="2025"/>
          <s v="&gt;13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4138"/>
    <n v="361"/>
    <n v="3777"/>
    <n v="103777"/>
    <n v="0.5663779064725325"/>
    <s v="No Campaign"/>
    <n v="23944"/>
  </r>
  <r>
    <x v="0"/>
    <x v="1"/>
    <n v="8693"/>
    <n v="1261"/>
    <n v="7215"/>
    <n v="111209"/>
    <n v="0.69475492091467417"/>
    <s v="No Campaign"/>
    <n v="29873"/>
  </r>
  <r>
    <x v="0"/>
    <x v="2"/>
    <n v="9264"/>
    <n v="1141"/>
    <n v="7452"/>
    <n v="119332"/>
    <n v="0.92312204605638049"/>
    <s v="No Campaign"/>
    <n v="50372"/>
  </r>
  <r>
    <x v="0"/>
    <x v="2"/>
    <n v="8842"/>
    <n v="971"/>
    <n v="8654"/>
    <n v="127203"/>
    <n v="0.16351815601833292"/>
    <s v="No Campaign"/>
    <n v="33928"/>
  </r>
  <r>
    <x v="1"/>
    <x v="0"/>
    <n v="7721"/>
    <n v="506"/>
    <n v="5442"/>
    <n v="134418"/>
    <n v="0.35577824398518049"/>
    <s v="No Campaign"/>
    <n v="25379"/>
  </r>
  <r>
    <x v="1"/>
    <x v="2"/>
    <n v="8002"/>
    <n v="524"/>
    <n v="7151"/>
    <n v="141896"/>
    <n v="0.52064892597395274"/>
    <s v="No Campaign"/>
    <n v="46751"/>
  </r>
  <r>
    <x v="1"/>
    <x v="1"/>
    <n v="5225"/>
    <n v="291"/>
    <n v="3586"/>
    <n v="146830"/>
    <n v="0.19551862698358652"/>
    <s v="No Campaign"/>
    <n v="44546"/>
  </r>
  <r>
    <x v="1"/>
    <x v="1"/>
    <n v="3978"/>
    <n v="543"/>
    <n v="7429"/>
    <n v="150265"/>
    <n v="0.4915981765547533"/>
    <s v="No Campaign"/>
    <n v="34286"/>
  </r>
  <r>
    <x v="2"/>
    <x v="0"/>
    <n v="8373"/>
    <n v="921"/>
    <n v="1741"/>
    <n v="157717"/>
    <n v="0.12226329438170901"/>
    <s v="iPhone 16 Launch"/>
    <n v="15110"/>
  </r>
  <r>
    <x v="2"/>
    <x v="1"/>
    <n v="6907"/>
    <n v="834"/>
    <n v="3213"/>
    <n v="163790"/>
    <n v="0.54158984064961235"/>
    <s v="iPhone 16 Launch"/>
    <n v="22087"/>
  </r>
  <r>
    <x v="2"/>
    <x v="3"/>
    <n v="7097"/>
    <n v="369"/>
    <n v="5795"/>
    <n v="170518"/>
    <n v="9.2506362964613717E-2"/>
    <s v="iPhone 16 Launch"/>
    <n v="33762"/>
  </r>
  <r>
    <x v="2"/>
    <x v="0"/>
    <n v="6656"/>
    <n v="978"/>
    <n v="6920"/>
    <n v="176196"/>
    <n v="0.60425889350496043"/>
    <s v="iPhone 16 Launch"/>
    <n v="27081"/>
  </r>
  <r>
    <x v="3"/>
    <x v="1"/>
    <n v="9984"/>
    <n v="1330"/>
    <n v="1513"/>
    <n v="184850"/>
    <n v="0.57524479307546661"/>
    <s v="iPhone 16 Launch"/>
    <n v="44947"/>
  </r>
  <r>
    <x v="3"/>
    <x v="0"/>
    <n v="5259"/>
    <n v="374"/>
    <n v="5520"/>
    <n v="189735"/>
    <n v="0.14827522597306769"/>
    <s v="iPhone 16 Launch"/>
    <n v="19596"/>
  </r>
  <r>
    <x v="3"/>
    <x v="2"/>
    <n v="9286"/>
    <n v="633"/>
    <n v="7442"/>
    <n v="198388"/>
    <n v="5.4343004617214759E-2"/>
    <s v="iPhone 16 Launch"/>
    <n v="48019"/>
  </r>
  <r>
    <x v="3"/>
    <x v="1"/>
    <n v="6901"/>
    <n v="471"/>
    <n v="7224"/>
    <n v="204818"/>
    <n v="0.60827661631301944"/>
    <s v="iPhone 16 Launch"/>
    <n v="52003"/>
  </r>
  <r>
    <x v="4"/>
    <x v="3"/>
    <n v="5917"/>
    <n v="475"/>
    <n v="1309"/>
    <n v="210260"/>
    <n v="0.17894035955483692"/>
    <s v="iPhone 16 Launch"/>
    <n v="28313"/>
  </r>
  <r>
    <x v="4"/>
    <x v="1"/>
    <n v="9429"/>
    <n v="966"/>
    <n v="8361"/>
    <n v="218723"/>
    <n v="7.6914636320825888E-2"/>
    <s v="iPhone 16 Launch"/>
    <n v="57639"/>
  </r>
  <r>
    <x v="4"/>
    <x v="0"/>
    <n v="3530"/>
    <n v="328"/>
    <n v="2421"/>
    <n v="221925"/>
    <n v="0.12837219781457701"/>
    <s v="iPhone 16 Launch"/>
    <n v="11013"/>
  </r>
  <r>
    <x v="4"/>
    <x v="0"/>
    <n v="2960"/>
    <n v="234"/>
    <n v="7767"/>
    <n v="224651"/>
    <n v="0.17412786945083711"/>
    <s v="iPhone 16 Launch"/>
    <n v="59378"/>
  </r>
  <r>
    <x v="5"/>
    <x v="1"/>
    <n v="8045"/>
    <n v="894"/>
    <n v="7565"/>
    <n v="231802"/>
    <n v="0.47634187798207089"/>
    <s v="iPhone 16 Launch"/>
    <n v="33705"/>
  </r>
  <r>
    <x v="5"/>
    <x v="3"/>
    <n v="2048"/>
    <n v="130"/>
    <n v="6439"/>
    <n v="233720"/>
    <n v="0.39284614068115686"/>
    <s v="iPhone 16 Launch"/>
    <n v="11828"/>
  </r>
  <r>
    <x v="5"/>
    <x v="3"/>
    <n v="6772"/>
    <n v="536"/>
    <n v="7218"/>
    <n v="239956"/>
    <n v="9.8205504342462793E-2"/>
    <s v="iPhone 16 Launch"/>
    <n v="17909"/>
  </r>
  <r>
    <x v="5"/>
    <x v="3"/>
    <n v="3529"/>
    <n v="305"/>
    <n v="1017"/>
    <n v="243180"/>
    <n v="0.41606628834608111"/>
    <s v="iPhone 16 Launch"/>
    <n v="48356"/>
  </r>
  <r>
    <x v="6"/>
    <x v="0"/>
    <n v="3964"/>
    <n v="378"/>
    <n v="5206"/>
    <n v="246766"/>
    <n v="0.136355899921383"/>
    <s v="iPhone 16 Launch"/>
    <n v="23109"/>
  </r>
  <r>
    <x v="6"/>
    <x v="1"/>
    <n v="8137"/>
    <n v="1045"/>
    <n v="8485"/>
    <n v="253858"/>
    <n v="0.2047246886054408"/>
    <s v="iPhone 16 Launch"/>
    <n v="12023"/>
  </r>
  <r>
    <x v="6"/>
    <x v="2"/>
    <n v="1963"/>
    <n v="137"/>
    <n v="1369"/>
    <n v="255684"/>
    <n v="0.112083665774941"/>
    <s v="iPhone 16 Launch"/>
    <n v="24537"/>
  </r>
  <r>
    <x v="6"/>
    <x v="0"/>
    <n v="1536"/>
    <n v="155"/>
    <n v="6642"/>
    <n v="257065"/>
    <n v="0.12157625503277381"/>
    <s v="iPhone 16 Launch"/>
    <n v="36661"/>
  </r>
  <r>
    <x v="7"/>
    <x v="3"/>
    <n v="8340"/>
    <n v="911"/>
    <n v="3592"/>
    <n v="264494"/>
    <n v="0.37302925586213681"/>
    <s v="No Campaign"/>
    <n v="48659"/>
  </r>
  <r>
    <x v="7"/>
    <x v="1"/>
    <n v="8179"/>
    <n v="446"/>
    <n v="1367"/>
    <n v="272227"/>
    <n v="0.41821714965818968"/>
    <s v="No Campaign"/>
    <n v="43848"/>
  </r>
  <r>
    <x v="7"/>
    <x v="3"/>
    <n v="8967"/>
    <n v="993"/>
    <n v="8200"/>
    <n v="280201"/>
    <n v="0.52792102811910024"/>
    <s v="No Campaign"/>
    <n v="47804"/>
  </r>
  <r>
    <x v="7"/>
    <x v="2"/>
    <n v="9734"/>
    <n v="652"/>
    <n v="9254"/>
    <n v="289283"/>
    <n v="0.49647922622483864"/>
    <s v="No Campaign"/>
    <n v="25379"/>
  </r>
  <r>
    <x v="8"/>
    <x v="3"/>
    <n v="1845"/>
    <n v="104"/>
    <n v="7471"/>
    <n v="291024"/>
    <n v="0.28158158777282971"/>
    <s v="No Campaign"/>
    <n v="37766"/>
  </r>
  <r>
    <x v="8"/>
    <x v="3"/>
    <n v="6777"/>
    <n v="981"/>
    <n v="8518"/>
    <n v="296820"/>
    <n v="0.23920557913887203"/>
    <s v="No Campaign"/>
    <n v="53590"/>
  </r>
  <r>
    <x v="8"/>
    <x v="2"/>
    <n v="4036"/>
    <n v="591"/>
    <n v="7260"/>
    <n v="300265"/>
    <n v="0.44219272975538271"/>
    <s v="No Campaign"/>
    <n v="12563"/>
  </r>
  <r>
    <x v="8"/>
    <x v="1"/>
    <n v="6947"/>
    <n v="908"/>
    <n v="3805"/>
    <n v="306304"/>
    <n v="0.14117673944839121"/>
    <s v="No Campaign"/>
    <n v="46060"/>
  </r>
  <r>
    <x v="9"/>
    <x v="0"/>
    <n v="3494"/>
    <n v="281"/>
    <n v="3420"/>
    <n v="309517"/>
    <n v="0.27765518533715428"/>
    <s v="No Campaign"/>
    <n v="39197"/>
  </r>
  <r>
    <x v="9"/>
    <x v="1"/>
    <n v="3719"/>
    <n v="222"/>
    <n v="1290"/>
    <n v="313014"/>
    <n v="0.2166931830525152"/>
    <s v="No Campaign"/>
    <n v="13586"/>
  </r>
  <r>
    <x v="9"/>
    <x v="2"/>
    <n v="2884"/>
    <n v="341"/>
    <n v="9125"/>
    <n v="315557"/>
    <n v="0.46999749649033307"/>
    <s v="No Campaign"/>
    <n v="26087"/>
  </r>
  <r>
    <x v="9"/>
    <x v="3"/>
    <n v="5349"/>
    <n v="502"/>
    <n v="6631"/>
    <n v="320404"/>
    <n v="5.2152906954969352E-2"/>
    <s v="No Campaign"/>
    <n v="58868"/>
  </r>
  <r>
    <x v="10"/>
    <x v="1"/>
    <n v="6179"/>
    <n v="384"/>
    <n v="8723"/>
    <n v="326199"/>
    <n v="0.14712184893270672"/>
    <s v="No Campaign"/>
    <n v="33225"/>
  </r>
  <r>
    <x v="10"/>
    <x v="0"/>
    <n v="7610"/>
    <n v="757"/>
    <n v="7509"/>
    <n v="333052"/>
    <n v="0.44450416151231642"/>
    <s v="No Campaign"/>
    <n v="39750"/>
  </r>
  <r>
    <x v="10"/>
    <x v="2"/>
    <n v="7430"/>
    <n v="397"/>
    <n v="9044"/>
    <n v="340085"/>
    <n v="0.28065042562888687"/>
    <s v="No Campaign"/>
    <n v="16643"/>
  </r>
  <r>
    <x v="10"/>
    <x v="1"/>
    <n v="8154"/>
    <n v="1149"/>
    <n v="6272"/>
    <n v="347090"/>
    <n v="0.26003918292085632"/>
    <s v="No Campaign"/>
    <n v="37523"/>
  </r>
  <r>
    <x v="11"/>
    <x v="0"/>
    <n v="7488"/>
    <n v="568"/>
    <n v="6434"/>
    <n v="354010"/>
    <n v="0.13477302901047991"/>
    <s v="No Campaign"/>
    <n v="46727"/>
  </r>
  <r>
    <x v="11"/>
    <x v="2"/>
    <n v="5737"/>
    <n v="666"/>
    <n v="7849"/>
    <n v="359081"/>
    <n v="4.6034181702735592E-2"/>
    <s v="No Campaign"/>
    <n v="21005"/>
  </r>
  <r>
    <x v="11"/>
    <x v="0"/>
    <n v="7525"/>
    <n v="610"/>
    <n v="5491"/>
    <n v="365996"/>
    <n v="5.7694619613329112E-2"/>
    <s v="No Campaign"/>
    <n v="53543"/>
  </r>
  <r>
    <x v="11"/>
    <x v="2"/>
    <n v="4850"/>
    <n v="494"/>
    <n v="1512"/>
    <n v="370352"/>
    <n v="0.2046539508359615"/>
    <s v="No Campaign"/>
    <n v="10161"/>
  </r>
  <r>
    <x v="12"/>
    <x v="3"/>
    <n v="1689"/>
    <n v="176"/>
    <n v="893"/>
    <n v="371865"/>
    <n v="0.38012181840183945"/>
    <s v="No Campaign"/>
    <n v="26029"/>
  </r>
  <r>
    <x v="12"/>
    <x v="1"/>
    <n v="6175"/>
    <n v="422"/>
    <m/>
    <n v="377618"/>
    <n v="0.3786101298137271"/>
    <s v="No Campaign"/>
    <n v="59745"/>
  </r>
  <r>
    <x v="12"/>
    <x v="0"/>
    <n v="9648"/>
    <n v="1417"/>
    <m/>
    <n v="385849"/>
    <n v="3.6633501706626166E-2"/>
    <s v="No Campaign"/>
    <n v="24226"/>
  </r>
  <r>
    <x v="12"/>
    <x v="2"/>
    <n v="6078"/>
    <n v="775"/>
    <m/>
    <n v="391152"/>
    <n v="0.37760512537325641"/>
    <s v="No Campaign"/>
    <n v="38731"/>
  </r>
  <r>
    <x v="13"/>
    <x v="0"/>
    <n v="6448"/>
    <n v="928"/>
    <m/>
    <n v="396672"/>
    <n v="0.3011858664085188"/>
    <s v="No Campaign"/>
    <n v="53922"/>
  </r>
  <r>
    <x v="13"/>
    <x v="0"/>
    <n v="2179"/>
    <n v="303"/>
    <m/>
    <n v="398548"/>
    <n v="0.3390984272910666"/>
    <s v="No Campaign"/>
    <n v="54848"/>
  </r>
  <r>
    <x v="13"/>
    <x v="1"/>
    <n v="7406"/>
    <n v="813"/>
    <m/>
    <n v="405141"/>
    <n v="0.2445741112353477"/>
    <s v="No Campaign"/>
    <n v="13390"/>
  </r>
  <r>
    <x v="13"/>
    <x v="3"/>
    <n v="9591"/>
    <n v="1363"/>
    <m/>
    <n v="413369"/>
    <n v="0.1049425573760974"/>
    <s v="No Campaign"/>
    <n v="15997"/>
  </r>
  <r>
    <x v="14"/>
    <x v="0"/>
    <n v="7907"/>
    <n v="465"/>
    <m/>
    <n v="420811"/>
    <n v="0.3325744811803874"/>
    <s v="No Campaign"/>
    <n v="22693"/>
  </r>
  <r>
    <x v="14"/>
    <x v="2"/>
    <n v="9800"/>
    <n v="682"/>
    <m/>
    <n v="429929"/>
    <n v="6.2966210699906267E-2"/>
    <s v="No Campaign"/>
    <n v="59815"/>
  </r>
  <r>
    <x v="14"/>
    <x v="2"/>
    <n v="2638"/>
    <n v="143"/>
    <m/>
    <n v="432424"/>
    <n v="6.9547481175882928E-2"/>
    <s v="No Campaign"/>
    <n v="52092"/>
  </r>
  <r>
    <x v="14"/>
    <x v="3"/>
    <n v="6671"/>
    <n v="550"/>
    <m/>
    <n v="438545"/>
    <n v="0.17750287883797561"/>
    <s v="No Campaign"/>
    <n v="10541"/>
  </r>
  <r>
    <x v="15"/>
    <x v="2"/>
    <n v="7928"/>
    <n v="704"/>
    <m/>
    <n v="445769"/>
    <n v="0.11194362999670228"/>
    <s v="No Campaign"/>
    <n v="31817"/>
  </r>
  <r>
    <x v="15"/>
    <x v="3"/>
    <n v="2382"/>
    <n v="183"/>
    <m/>
    <n v="447968"/>
    <n v="4.7335970426459033E-2"/>
    <s v="No Campaign"/>
    <n v="47861"/>
  </r>
  <r>
    <x v="15"/>
    <x v="2"/>
    <n v="2403"/>
    <n v="319"/>
    <m/>
    <n v="450052"/>
    <n v="0.29921209104725682"/>
    <s v="No Campaign"/>
    <n v="23428"/>
  </r>
  <r>
    <x v="15"/>
    <x v="1"/>
    <n v="4292"/>
    <n v="367"/>
    <m/>
    <n v="453977"/>
    <n v="3.503701729382766E-2"/>
    <s v="No Campaign"/>
    <n v="53934"/>
  </r>
  <r>
    <x v="16"/>
    <x v="0"/>
    <n v="1419"/>
    <n v="110"/>
    <m/>
    <n v="455286"/>
    <n v="0.31554451487636337"/>
    <s v="No Campaign"/>
    <n v="58831"/>
  </r>
  <r>
    <x v="16"/>
    <x v="1"/>
    <n v="5517"/>
    <n v="575"/>
    <m/>
    <n v="460228"/>
    <n v="0.29458442337276308"/>
    <s v="No Campaign"/>
    <n v="20258"/>
  </r>
  <r>
    <x v="16"/>
    <x v="0"/>
    <n v="4302"/>
    <n v="275"/>
    <m/>
    <n v="464255"/>
    <n v="0.1572131694865968"/>
    <s v="No Campaign"/>
    <n v="26044"/>
  </r>
  <r>
    <x v="16"/>
    <x v="0"/>
    <n v="8857"/>
    <n v="1153"/>
    <m/>
    <n v="471959"/>
    <n v="0.1921459279301804"/>
    <s v="No Campaign"/>
    <n v="39411"/>
  </r>
  <r>
    <x v="17"/>
    <x v="0"/>
    <n v="8870"/>
    <n v="509"/>
    <m/>
    <n v="480320"/>
    <n v="0.25077864756828783"/>
    <s v="No Campaign"/>
    <n v="15469"/>
  </r>
  <r>
    <x v="17"/>
    <x v="1"/>
    <n v="6693"/>
    <n v="995"/>
    <m/>
    <n v="486018"/>
    <n v="0.2376187713212268"/>
    <s v="No Campaign"/>
    <n v="38854"/>
  </r>
  <r>
    <x v="17"/>
    <x v="0"/>
    <n v="1767"/>
    <n v="224"/>
    <m/>
    <n v="487561"/>
    <n v="0.13208603641390507"/>
    <s v="No Campaign"/>
    <n v="16256"/>
  </r>
  <r>
    <x v="17"/>
    <x v="1"/>
    <n v="3044"/>
    <n v="212"/>
    <m/>
    <n v="490393"/>
    <n v="8.5343795690395269E-2"/>
    <s v="No Campaign"/>
    <n v="20720"/>
  </r>
  <r>
    <x v="18"/>
    <x v="3"/>
    <n v="2549"/>
    <n v="128"/>
    <m/>
    <n v="492814"/>
    <n v="0.1273421615457353"/>
    <s v="MacBook Air M3 Campaign"/>
    <n v="43937"/>
  </r>
  <r>
    <x v="18"/>
    <x v="2"/>
    <n v="7140"/>
    <n v="939"/>
    <m/>
    <n v="499015"/>
    <n v="0.25120888149654819"/>
    <s v="MacBook Air M3 Campaign"/>
    <n v="43598"/>
  </r>
  <r>
    <x v="18"/>
    <x v="2"/>
    <n v="4716"/>
    <n v="569"/>
    <m/>
    <n v="503162"/>
    <n v="0.25648200778278168"/>
    <s v="MacBook Air M3 Campaign"/>
    <n v="11651"/>
  </r>
  <r>
    <x v="18"/>
    <x v="0"/>
    <n v="5481"/>
    <n v="673"/>
    <m/>
    <n v="507970"/>
    <n v="0.13087583912435771"/>
    <s v="MacBook Air M3 Campaign"/>
    <n v="29194"/>
  </r>
  <r>
    <x v="19"/>
    <x v="1"/>
    <n v="8898"/>
    <n v="1131"/>
    <m/>
    <n v="515737"/>
    <n v="2.1877429775253671E-2"/>
    <s v="MacBook Air M3 Campaign"/>
    <n v="35051"/>
  </r>
  <r>
    <x v="19"/>
    <x v="2"/>
    <n v="7548"/>
    <n v="433"/>
    <m/>
    <n v="522852"/>
    <n v="8.3562843787534521E-2"/>
    <s v="MacBook Air M3 Campaign"/>
    <n v="37386"/>
  </r>
  <r>
    <x v="19"/>
    <x v="1"/>
    <n v="3293"/>
    <n v="282"/>
    <m/>
    <n v="525863"/>
    <n v="0.2704069310828105"/>
    <s v="MacBook Air M3 Campaign"/>
    <n v="19518"/>
  </r>
  <r>
    <x v="19"/>
    <x v="1"/>
    <n v="5837"/>
    <n v="359"/>
    <m/>
    <n v="531341"/>
    <n v="6.8073045370110719E-2"/>
    <s v="MacBook Air M3 Campaign"/>
    <n v="56026"/>
  </r>
  <r>
    <x v="20"/>
    <x v="0"/>
    <n v="8758"/>
    <n v="1193"/>
    <m/>
    <n v="538906"/>
    <n v="3.4213758985797149E-2"/>
    <s v="MacBook Air M3 Campaign"/>
    <n v="26184"/>
  </r>
  <r>
    <x v="20"/>
    <x v="2"/>
    <n v="7793"/>
    <n v="875"/>
    <m/>
    <n v="545824"/>
    <n v="5.5136820660139529E-2"/>
    <s v="MacBook Air M3 Campaign"/>
    <n v="43787"/>
  </r>
  <r>
    <x v="20"/>
    <x v="0"/>
    <n v="8638"/>
    <n v="717"/>
    <m/>
    <n v="553745"/>
    <n v="0.26921416897669498"/>
    <s v="MacBook Air M3 Campaign"/>
    <n v="31621"/>
  </r>
  <r>
    <x v="20"/>
    <x v="0"/>
    <n v="8993"/>
    <n v="506"/>
    <m/>
    <n v="562232"/>
    <n v="3.5131404829323136E-2"/>
    <s v="MacBook Air M3 Campaign"/>
    <n v="20028"/>
  </r>
  <r>
    <x v="21"/>
    <x v="2"/>
    <n v="7007"/>
    <n v="568"/>
    <m/>
    <n v="568671"/>
    <n v="0.1150507059442103"/>
    <s v="MacBook Air M3 Campaign"/>
    <n v="22448"/>
  </r>
  <r>
    <x v="21"/>
    <x v="2"/>
    <n v="6542"/>
    <n v="539"/>
    <m/>
    <n v="574674"/>
    <n v="6.4069368024305948E-2"/>
    <s v="MacBook Air M3 Campaign"/>
    <n v="55253"/>
  </r>
  <r>
    <x v="21"/>
    <x v="3"/>
    <n v="7356"/>
    <n v="904"/>
    <m/>
    <n v="581126"/>
    <n v="0.1756090761728093"/>
    <s v="MacBook Air M3 Campaign"/>
    <n v="44051"/>
  </r>
  <r>
    <x v="21"/>
    <x v="3"/>
    <n v="9433"/>
    <n v="1073"/>
    <m/>
    <n v="589486"/>
    <n v="7.2934726185185053E-2"/>
    <s v="MacBook Air M3 Campaign"/>
    <n v="59811"/>
  </r>
  <r>
    <x v="22"/>
    <x v="1"/>
    <n v="8380"/>
    <n v="1162"/>
    <m/>
    <n v="596704"/>
    <n v="0.18058534884968089"/>
    <s v="No Campaign"/>
    <n v="40447"/>
  </r>
  <r>
    <x v="22"/>
    <x v="2"/>
    <n v="3385"/>
    <n v="329"/>
    <m/>
    <n v="599760"/>
    <n v="0.17617880485527551"/>
    <s v="No Campaign"/>
    <n v="28394"/>
  </r>
  <r>
    <x v="22"/>
    <x v="3"/>
    <n v="5268"/>
    <n v="326"/>
    <m/>
    <n v="604702"/>
    <n v="0.2343584112505003"/>
    <s v="No Campaign"/>
    <n v="44501"/>
  </r>
  <r>
    <x v="22"/>
    <x v="1"/>
    <n v="1671"/>
    <n v="202"/>
    <m/>
    <n v="606171"/>
    <n v="0.15150015424690388"/>
    <s v="No Campaign"/>
    <n v="40254"/>
  </r>
  <r>
    <x v="23"/>
    <x v="1"/>
    <n v="1163"/>
    <n v="146"/>
    <m/>
    <n v="607188"/>
    <n v="0.2177776899411715"/>
    <s v="No Campaign"/>
    <n v="28509"/>
  </r>
  <r>
    <x v="23"/>
    <x v="1"/>
    <n v="9656"/>
    <n v="1024"/>
    <m/>
    <n v="615820"/>
    <n v="8.7252768666168684E-2"/>
    <s v="No Campaign"/>
    <n v="58998"/>
  </r>
  <r>
    <x v="23"/>
    <x v="3"/>
    <n v="5592"/>
    <n v="710"/>
    <m/>
    <n v="620702"/>
    <n v="9.0711806954061697E-2"/>
    <s v="No Campaign"/>
    <n v="24472"/>
  </r>
  <r>
    <x v="23"/>
    <x v="2"/>
    <n v="5795"/>
    <n v="575"/>
    <m/>
    <n v="625922"/>
    <n v="3.0908004511744271E-2"/>
    <s v="No Campaign"/>
    <n v="55657"/>
  </r>
  <r>
    <x v="24"/>
    <x v="0"/>
    <n v="5798"/>
    <n v="592"/>
    <m/>
    <n v="631128"/>
    <n v="1.6774727155188813E-2"/>
    <s v="No Campaign"/>
    <n v="13471"/>
  </r>
  <r>
    <x v="24"/>
    <x v="1"/>
    <n v="7036"/>
    <n v="652"/>
    <m/>
    <n v="637512"/>
    <n v="3.5705994553828009E-2"/>
    <s v="No Campaign"/>
    <n v="51796"/>
  </r>
  <r>
    <x v="24"/>
    <x v="3"/>
    <n v="3355"/>
    <n v="176"/>
    <m/>
    <n v="640691"/>
    <n v="0.12426427091999112"/>
    <s v="No Campaign"/>
    <n v="40268"/>
  </r>
  <r>
    <x v="24"/>
    <x v="3"/>
    <n v="6887"/>
    <n v="418"/>
    <m/>
    <n v="647160"/>
    <n v="0.20240280610668152"/>
    <s v="No Campaign"/>
    <n v="18329"/>
  </r>
  <r>
    <x v="25"/>
    <x v="0"/>
    <n v="8961"/>
    <n v="476"/>
    <m/>
    <n v="655645"/>
    <n v="0.15458517947974901"/>
    <s v="No Campaign"/>
    <n v="44865"/>
  </r>
  <r>
    <x v="25"/>
    <x v="0"/>
    <n v="6827"/>
    <n v="775"/>
    <m/>
    <n v="661697"/>
    <n v="0.15966220188394387"/>
    <s v="No Campaign"/>
    <n v="56850"/>
  </r>
  <r>
    <x v="25"/>
    <x v="3"/>
    <n v="9737"/>
    <n v="792"/>
    <m/>
    <n v="670642"/>
    <n v="5.301785453341723E-2"/>
    <s v="No Campaign"/>
    <n v="56698"/>
  </r>
  <r>
    <x v="25"/>
    <x v="2"/>
    <n v="5719"/>
    <n v="576"/>
    <m/>
    <n v="675785"/>
    <n v="0.1021656296011305"/>
    <s v="No Campaign"/>
    <n v="38272"/>
  </r>
  <r>
    <x v="26"/>
    <x v="0"/>
    <n v="1593"/>
    <n v="224"/>
    <m/>
    <n v="677154"/>
    <n v="4.1495730660972251E-2"/>
    <s v="No Campaign"/>
    <n v="52845"/>
  </r>
  <r>
    <x v="26"/>
    <x v="3"/>
    <n v="5839"/>
    <n v="437"/>
    <m/>
    <n v="682556"/>
    <n v="0.1744750613869045"/>
    <s v="No Campaign"/>
    <n v="16397"/>
  </r>
  <r>
    <x v="26"/>
    <x v="0"/>
    <n v="8394"/>
    <n v="764"/>
    <m/>
    <n v="690186"/>
    <n v="6.355678034616756E-2"/>
    <s v="No Campaign"/>
    <n v="42373"/>
  </r>
  <r>
    <x v="26"/>
    <x v="2"/>
    <n v="4493"/>
    <n v="564"/>
    <m/>
    <n v="694115"/>
    <n v="0.1662548713109499"/>
    <s v="No Campaign"/>
    <n v="45525"/>
  </r>
  <r>
    <x v="27"/>
    <x v="1"/>
    <n v="7164"/>
    <n v="522"/>
    <m/>
    <n v="700757"/>
    <n v="0.13449169969047761"/>
    <s v="No Campaign"/>
    <n v="34570"/>
  </r>
  <r>
    <x v="27"/>
    <x v="0"/>
    <n v="3672"/>
    <n v="211"/>
    <m/>
    <n v="704218"/>
    <n v="0.12350578940044132"/>
    <s v="No Campaign"/>
    <n v="28284"/>
  </r>
  <r>
    <x v="27"/>
    <x v="2"/>
    <n v="5200"/>
    <n v="410"/>
    <m/>
    <n v="709008"/>
    <n v="0.12913394489201821"/>
    <s v="No Campaign"/>
    <n v="28994"/>
  </r>
  <r>
    <x v="27"/>
    <x v="3"/>
    <n v="1016"/>
    <n v="67"/>
    <m/>
    <n v="709957"/>
    <n v="0.20774215903216672"/>
    <s v="No Campaign"/>
    <n v="33284"/>
  </r>
  <r>
    <x v="28"/>
    <x v="0"/>
    <n v="4191"/>
    <n v="599"/>
    <m/>
    <n v="713549"/>
    <n v="0.11564167282134788"/>
    <s v="No Campaign"/>
    <n v="27833"/>
  </r>
  <r>
    <x v="28"/>
    <x v="0"/>
    <n v="1392"/>
    <n v="182"/>
    <m/>
    <n v="714759"/>
    <n v="5.9603306848881939E-2"/>
    <s v="No Campaign"/>
    <n v="35122"/>
  </r>
  <r>
    <x v="28"/>
    <x v="3"/>
    <n v="9616"/>
    <n v="1089"/>
    <m/>
    <n v="723286"/>
    <n v="0.19258633514266829"/>
    <s v="No Campaign"/>
    <n v="15017"/>
  </r>
  <r>
    <x v="28"/>
    <x v="1"/>
    <n v="7272"/>
    <n v="997"/>
    <m/>
    <n v="729561"/>
    <n v="0.13428486445958598"/>
    <s v="No Campaign"/>
    <n v="26370"/>
  </r>
  <r>
    <x v="29"/>
    <x v="3"/>
    <n v="1571"/>
    <n v="204"/>
    <m/>
    <n v="730928"/>
    <n v="0.1944938489153514"/>
    <s v="No Campaign"/>
    <n v="39252"/>
  </r>
  <r>
    <x v="29"/>
    <x v="0"/>
    <n v="4631"/>
    <n v="317"/>
    <m/>
    <n v="735242"/>
    <n v="1.381177897889402E-2"/>
    <s v="No Campaign"/>
    <n v="17999"/>
  </r>
  <r>
    <x v="29"/>
    <x v="3"/>
    <n v="7172"/>
    <n v="998"/>
    <m/>
    <n v="741416"/>
    <n v="0.18066780323057505"/>
    <s v="No Campaign"/>
    <n v="32436"/>
  </r>
  <r>
    <x v="29"/>
    <x v="2"/>
    <n v="8177"/>
    <n v="849"/>
    <m/>
    <n v="748744"/>
    <n v="0.10349865908775233"/>
    <s v="No Campaign"/>
    <n v="52963"/>
  </r>
  <r>
    <x v="30"/>
    <x v="3"/>
    <n v="9433"/>
    <n v="1233"/>
    <m/>
    <n v="756944"/>
    <n v="0.1139172778963833"/>
    <s v="Apple Watch Ultra 2 Launch"/>
    <n v="12096"/>
  </r>
  <r>
    <x v="30"/>
    <x v="0"/>
    <n v="4897"/>
    <n v="683"/>
    <m/>
    <n v="761158"/>
    <n v="0.15062312949479612"/>
    <s v="Apple Watch Ultra 2 Launch"/>
    <n v="58201"/>
  </r>
  <r>
    <x v="30"/>
    <x v="3"/>
    <n v="9123"/>
    <n v="746"/>
    <m/>
    <n v="769535"/>
    <n v="6.3086149427901264E-2"/>
    <s v="Apple Watch Ultra 2 Launch"/>
    <n v="35279"/>
  </r>
  <r>
    <x v="30"/>
    <x v="1"/>
    <n v="3279"/>
    <n v="200"/>
    <m/>
    <n v="772614"/>
    <n v="5.0212654702089278E-2"/>
    <s v="Apple Watch Ultra 2 Launch"/>
    <n v="53363"/>
  </r>
  <r>
    <x v="31"/>
    <x v="3"/>
    <n v="9980"/>
    <n v="726"/>
    <m/>
    <n v="781868"/>
    <n v="4.0220344099003928E-2"/>
    <s v="Apple Watch Ultra 2 Launch"/>
    <n v="58709"/>
  </r>
  <r>
    <x v="31"/>
    <x v="1"/>
    <n v="8451"/>
    <n v="783"/>
    <m/>
    <n v="789536"/>
    <n v="0.1240728731812102"/>
    <s v="Apple Watch Ultra 2 Launch"/>
    <n v="36201"/>
  </r>
  <r>
    <x v="31"/>
    <x v="2"/>
    <n v="9906"/>
    <n v="1305"/>
    <m/>
    <n v="798137"/>
    <n v="9.1811305577864447E-2"/>
    <s v="Apple Watch Ultra 2 Launch"/>
    <n v="29715"/>
  </r>
  <r>
    <x v="31"/>
    <x v="1"/>
    <n v="1775"/>
    <n v="241"/>
    <m/>
    <n v="799671"/>
    <n v="8.1379717408784358E-2"/>
    <s v="Apple Watch Ultra 2 Launch"/>
    <n v="39309"/>
  </r>
  <r>
    <x v="32"/>
    <x v="3"/>
    <n v="7869"/>
    <n v="398"/>
    <m/>
    <n v="807142"/>
    <n v="0.1521194535781808"/>
    <s v="No Campaign"/>
    <n v="25078"/>
  </r>
  <r>
    <x v="32"/>
    <x v="0"/>
    <n v="3247"/>
    <n v="328"/>
    <m/>
    <n v="810061"/>
    <n v="0.139411723314664"/>
    <s v="No Campaign"/>
    <n v="15105"/>
  </r>
  <r>
    <x v="32"/>
    <x v="1"/>
    <n v="8088"/>
    <n v="742"/>
    <m/>
    <n v="817407"/>
    <n v="0.146645428776607"/>
    <s v="No Campaign"/>
    <n v="39312"/>
  </r>
  <r>
    <x v="32"/>
    <x v="2"/>
    <n v="1078"/>
    <n v="77"/>
    <m/>
    <n v="818408"/>
    <n v="0.18236747441373993"/>
    <s v="No Campaign"/>
    <n v="12839"/>
  </r>
  <r>
    <x v="33"/>
    <x v="1"/>
    <n v="9080"/>
    <n v="562"/>
    <m/>
    <n v="826926"/>
    <n v="7.1083748727213805E-2"/>
    <s v="No Campaign"/>
    <n v="13384"/>
  </r>
  <r>
    <x v="33"/>
    <x v="1"/>
    <n v="8099"/>
    <n v="678"/>
    <m/>
    <n v="834347"/>
    <n v="7.6464588474579515E-2"/>
    <s v="No Campaign"/>
    <n v="53619"/>
  </r>
  <r>
    <x v="33"/>
    <x v="1"/>
    <n v="4926"/>
    <n v="710"/>
    <m/>
    <n v="838563"/>
    <n v="0.12962174577223182"/>
    <s v="No Campaign"/>
    <n v="52821"/>
  </r>
  <r>
    <x v="33"/>
    <x v="2"/>
    <n v="8340"/>
    <n v="686"/>
    <m/>
    <n v="846217"/>
    <n v="7.2013443360272836E-2"/>
    <s v="No Campaign"/>
    <n v="23493"/>
  </r>
  <r>
    <x v="34"/>
    <x v="3"/>
    <n v="8083"/>
    <n v="823"/>
    <m/>
    <n v="853477"/>
    <n v="4.6300017457998291E-2"/>
    <s v="No Campaign"/>
    <n v="27069"/>
  </r>
  <r>
    <x v="34"/>
    <x v="1"/>
    <n v="7230"/>
    <n v="869"/>
    <m/>
    <n v="859838"/>
    <n v="7.0117859410726208E-2"/>
    <s v="No Campaign"/>
    <n v="56907"/>
  </r>
  <r>
    <x v="34"/>
    <x v="1"/>
    <n v="5940"/>
    <n v="512"/>
    <m/>
    <n v="865266"/>
    <n v="0.157972230504839"/>
    <s v="No Campaign"/>
    <n v="17531"/>
  </r>
  <r>
    <x v="34"/>
    <x v="0"/>
    <n v="4271"/>
    <n v="628"/>
    <m/>
    <n v="868909"/>
    <n v="0.11124410036033693"/>
    <s v="No Campaign"/>
    <n v="47051"/>
  </r>
  <r>
    <x v="35"/>
    <x v="2"/>
    <n v="4456"/>
    <n v="651"/>
    <m/>
    <n v="872714"/>
    <n v="9.5052903929580601E-2"/>
    <s v="No Campaign"/>
    <n v="17736"/>
  </r>
  <r>
    <x v="35"/>
    <x v="1"/>
    <n v="8788"/>
    <n v="660"/>
    <m/>
    <n v="880842"/>
    <n v="3.7175793161543159E-2"/>
    <s v="No Campaign"/>
    <n v="17710"/>
  </r>
  <r>
    <x v="35"/>
    <x v="2"/>
    <n v="9599"/>
    <n v="957"/>
    <m/>
    <n v="889484"/>
    <n v="8.7680048207724931E-2"/>
    <s v="No Campaign"/>
    <n v="11619"/>
  </r>
  <r>
    <x v="35"/>
    <x v="1"/>
    <n v="8650"/>
    <n v="692"/>
    <m/>
    <n v="897442"/>
    <n v="7.6673478620345376E-2"/>
    <s v="No Campaign"/>
    <n v="23975"/>
  </r>
  <r>
    <x v="36"/>
    <x v="3"/>
    <n v="3711"/>
    <n v="291"/>
    <m/>
    <n v="900862"/>
    <n v="0.14248797263065821"/>
    <s v="No Campaign"/>
    <n v="55603"/>
  </r>
  <r>
    <x v="36"/>
    <x v="3"/>
    <n v="2668"/>
    <n v="143"/>
    <m/>
    <n v="903387"/>
    <n v="0.15903372530266649"/>
    <s v="No Campaign"/>
    <n v="33252"/>
  </r>
  <r>
    <x v="36"/>
    <x v="1"/>
    <n v="1147"/>
    <n v="127"/>
    <m/>
    <n v="904407"/>
    <n v="1.3997016829812241E-2"/>
    <s v="No Campaign"/>
    <n v="25261"/>
  </r>
  <r>
    <x v="36"/>
    <x v="3"/>
    <n v="7420"/>
    <n v="743"/>
    <m/>
    <n v="911084"/>
    <n v="0.1059353473444819"/>
    <s v="No Campaign"/>
    <n v="11431"/>
  </r>
  <r>
    <x v="37"/>
    <x v="1"/>
    <n v="1365"/>
    <n v="75"/>
    <m/>
    <n v="912374"/>
    <n v="9.2688963078737446E-2"/>
    <s v="No Campaign"/>
    <n v="19067"/>
  </r>
  <r>
    <x v="37"/>
    <x v="3"/>
    <n v="5531"/>
    <n v="430"/>
    <m/>
    <n v="917475"/>
    <n v="2.728902694896319E-2"/>
    <s v="No Campaign"/>
    <n v="47481"/>
  </r>
  <r>
    <x v="37"/>
    <x v="0"/>
    <n v="6330"/>
    <n v="891"/>
    <m/>
    <n v="922914"/>
    <n v="0.14789893749580141"/>
    <s v="No Campaign"/>
    <n v="37037"/>
  </r>
  <r>
    <x v="37"/>
    <x v="0"/>
    <n v="6510"/>
    <n v="481"/>
    <m/>
    <n v="928943"/>
    <n v="2.3800168578696428E-2"/>
    <s v="No Campaign"/>
    <n v="19557"/>
  </r>
  <r>
    <x v="38"/>
    <x v="0"/>
    <n v="9754"/>
    <n v="629"/>
    <m/>
    <n v="938068"/>
    <n v="3.4123325814333291E-2"/>
    <s v="No Campaign"/>
    <n v="19435"/>
  </r>
  <r>
    <x v="38"/>
    <x v="2"/>
    <n v="9964"/>
    <n v="985"/>
    <m/>
    <n v="947047"/>
    <n v="1.9837452629066991E-2"/>
    <s v="No Campaign"/>
    <n v="47766"/>
  </r>
  <r>
    <x v="38"/>
    <x v="2"/>
    <n v="7493"/>
    <n v="1113"/>
    <m/>
    <n v="953427"/>
    <n v="0.15684892498324471"/>
    <s v="No Campaign"/>
    <n v="10162"/>
  </r>
  <r>
    <x v="38"/>
    <x v="0"/>
    <n v="6439"/>
    <n v="477"/>
    <m/>
    <n v="959389"/>
    <n v="7.474444672598915E-2"/>
    <s v="No Campaign"/>
    <n v="44742"/>
  </r>
  <r>
    <x v="39"/>
    <x v="2"/>
    <n v="7511"/>
    <n v="880"/>
    <m/>
    <n v="966020"/>
    <n v="4.608393200968925E-2"/>
    <s v="Sustainability Awareness Drive"/>
    <n v="29675"/>
  </r>
  <r>
    <x v="39"/>
    <x v="3"/>
    <n v="8504"/>
    <n v="1072"/>
    <m/>
    <n v="973452"/>
    <n v="6.5651927367759266E-2"/>
    <s v="Sustainability Awareness Drive"/>
    <n v="18461"/>
  </r>
  <r>
    <x v="39"/>
    <x v="1"/>
    <n v="2246"/>
    <n v="165"/>
    <m/>
    <n v="975533"/>
    <n v="2.9062061457685192E-2"/>
    <s v="Sustainability Awareness Drive"/>
    <n v="27015"/>
  </r>
  <r>
    <x v="39"/>
    <x v="1"/>
    <n v="4839"/>
    <n v="594"/>
    <m/>
    <n v="979778"/>
    <n v="2.5803804535313103E-2"/>
    <s v="Sustainability Awareness Drive"/>
    <n v="42591"/>
  </r>
  <r>
    <x v="40"/>
    <x v="1"/>
    <n v="9551"/>
    <n v="828"/>
    <m/>
    <n v="988501"/>
    <n v="1.5250363934887268E-2"/>
    <s v="Sustainability Awareness Drive"/>
    <n v="38047"/>
  </r>
  <r>
    <x v="40"/>
    <x v="0"/>
    <n v="3376"/>
    <n v="382"/>
    <m/>
    <n v="991495"/>
    <n v="3.8694093263203555E-2"/>
    <s v="Sustainability Awareness Drive"/>
    <n v="44782"/>
  </r>
  <r>
    <x v="40"/>
    <x v="2"/>
    <n v="4009"/>
    <n v="454"/>
    <m/>
    <n v="995050"/>
    <n v="2.1106477061454201E-2"/>
    <s v="Sustainability Awareness Drive"/>
    <n v="19833"/>
  </r>
  <r>
    <x v="40"/>
    <x v="3"/>
    <n v="2827"/>
    <n v="292"/>
    <m/>
    <n v="997585"/>
    <n v="2.4004972007397873E-2"/>
    <s v="Sustainability Awareness Drive"/>
    <n v="17896"/>
  </r>
  <r>
    <x v="41"/>
    <x v="3"/>
    <n v="7979"/>
    <n v="470"/>
    <m/>
    <n v="1005094"/>
    <n v="0.10430865172809713"/>
    <s v="Sustainability Awareness Drive"/>
    <n v="42972"/>
  </r>
  <r>
    <x v="41"/>
    <x v="0"/>
    <n v="9569"/>
    <n v="1277"/>
    <m/>
    <n v="1013386"/>
    <n v="0.1245517502708741"/>
    <s v="Sustainability Awareness Drive"/>
    <n v="59733"/>
  </r>
  <r>
    <x v="41"/>
    <x v="3"/>
    <n v="5285"/>
    <n v="433"/>
    <m/>
    <n v="1018238"/>
    <n v="8.7022876773406629E-2"/>
    <s v="Sustainability Awareness Drive"/>
    <n v="51800"/>
  </r>
  <r>
    <x v="41"/>
    <x v="3"/>
    <n v="7910"/>
    <n v="543"/>
    <m/>
    <n v="1025605"/>
    <n v="6.0590578244060826E-2"/>
    <s v="Sustainability Awareness Drive"/>
    <n v="40508"/>
  </r>
  <r>
    <x v="42"/>
    <x v="3"/>
    <n v="9561"/>
    <n v="517"/>
    <m/>
    <n v="1034649"/>
    <n v="6.4086467971263689E-2"/>
    <s v="Sustainability Awareness Drive"/>
    <n v="15347"/>
  </r>
  <r>
    <x v="42"/>
    <x v="3"/>
    <n v="3196"/>
    <n v="348"/>
    <m/>
    <n v="1037497"/>
    <n v="0.14030402015620289"/>
    <s v="Sustainability Awareness Drive"/>
    <n v="40314"/>
  </r>
  <r>
    <x v="42"/>
    <x v="2"/>
    <n v="4747"/>
    <n v="558"/>
    <m/>
    <n v="1041686"/>
    <n v="5.7680529449373442E-2"/>
    <s v="Sustainability Awareness Drive"/>
    <n v="12643"/>
  </r>
  <r>
    <x v="42"/>
    <x v="3"/>
    <n v="9843"/>
    <n v="508"/>
    <m/>
    <n v="1051021"/>
    <n v="4.2080986012648654E-2"/>
    <s v="Sustainability Awareness Drive"/>
    <n v="50785"/>
  </r>
  <r>
    <x v="43"/>
    <x v="1"/>
    <n v="6978"/>
    <n v="706"/>
    <m/>
    <n v="1057293"/>
    <n v="5.057443868445171E-2"/>
    <s v="Sustainability Awareness Drive"/>
    <n v="28681"/>
  </r>
  <r>
    <x v="43"/>
    <x v="0"/>
    <n v="6607"/>
    <n v="479"/>
    <m/>
    <n v="1063421"/>
    <n v="5.5892257158735817E-2"/>
    <s v="Sustainability Awareness Drive"/>
    <n v="48328"/>
  </r>
  <r>
    <x v="43"/>
    <x v="2"/>
    <n v="1769"/>
    <n v="202"/>
    <m/>
    <n v="1064988"/>
    <n v="6.5457075572682516E-2"/>
    <s v="Sustainability Awareness Drive"/>
    <n v="25892"/>
  </r>
  <r>
    <x v="43"/>
    <x v="3"/>
    <n v="1780"/>
    <n v="120"/>
    <m/>
    <n v="1066648"/>
    <n v="0.1386474263299608"/>
    <s v="Sustainability Awareness Drive"/>
    <n v="57299"/>
  </r>
  <r>
    <x v="44"/>
    <x v="2"/>
    <n v="7303"/>
    <n v="869"/>
    <m/>
    <n v="1073082"/>
    <n v="8.123796690280892E-2"/>
    <s v="No Campaign"/>
    <n v="27073"/>
  </r>
  <r>
    <x v="44"/>
    <x v="3"/>
    <n v="4983"/>
    <n v="441"/>
    <m/>
    <n v="1077624"/>
    <n v="6.8954477628560606E-2"/>
    <s v="No Campaign"/>
    <n v="46768"/>
  </r>
  <r>
    <x v="44"/>
    <x v="1"/>
    <n v="9714"/>
    <n v="1395"/>
    <m/>
    <n v="1085943"/>
    <n v="5.2243073531483698E-2"/>
    <s v="No Campaign"/>
    <n v="40682"/>
  </r>
  <r>
    <x v="44"/>
    <x v="0"/>
    <n v="1521"/>
    <n v="96"/>
    <m/>
    <n v="1087368"/>
    <n v="0.12709772588488899"/>
    <s v="No Campaign"/>
    <n v="42262"/>
  </r>
  <r>
    <x v="45"/>
    <x v="3"/>
    <n v="8569"/>
    <n v="720"/>
    <m/>
    <n v="1095217"/>
    <n v="9.5896977493957827E-2"/>
    <s v="No Campaign"/>
    <n v="41358"/>
  </r>
  <r>
    <x v="45"/>
    <x v="3"/>
    <n v="6784"/>
    <n v="416"/>
    <m/>
    <n v="1101585"/>
    <n v="9.3041390360253634E-2"/>
    <s v="No Campaign"/>
    <n v="24289"/>
  </r>
  <r>
    <x v="45"/>
    <x v="3"/>
    <n v="5583"/>
    <n v="795"/>
    <m/>
    <n v="1106373"/>
    <n v="0.1221550055903389"/>
    <s v="No Campaign"/>
    <n v="59823"/>
  </r>
  <r>
    <x v="45"/>
    <x v="3"/>
    <n v="6946"/>
    <n v="956"/>
    <m/>
    <n v="1112363"/>
    <n v="1.6414605663798602E-2"/>
    <s v="No Campaign"/>
    <n v="17927"/>
  </r>
  <r>
    <x v="46"/>
    <x v="0"/>
    <n v="5941"/>
    <n v="450"/>
    <m/>
    <n v="1117854"/>
    <n v="0.12414411899944"/>
    <s v="No Campaign"/>
    <n v="58330"/>
  </r>
  <r>
    <x v="46"/>
    <x v="0"/>
    <n v="7267"/>
    <n v="842"/>
    <m/>
    <n v="1124279"/>
    <n v="2.210216503198939E-2"/>
    <s v="No Campaign"/>
    <n v="11171"/>
  </r>
  <r>
    <x v="46"/>
    <x v="1"/>
    <n v="8128"/>
    <n v="1070"/>
    <m/>
    <n v="1131337"/>
    <n v="8.1114645768679008E-2"/>
    <s v="No Campaign"/>
    <n v="21918"/>
  </r>
  <r>
    <x v="46"/>
    <x v="0"/>
    <n v="3461"/>
    <n v="365"/>
    <m/>
    <n v="1134433"/>
    <n v="0.1023489267325616"/>
    <s v="No Campaign"/>
    <n v="51903"/>
  </r>
  <r>
    <x v="47"/>
    <x v="3"/>
    <n v="1685"/>
    <n v="173"/>
    <m/>
    <n v="1135945"/>
    <n v="8.7776256772995165E-2"/>
    <s v="No Campaign"/>
    <n v="49110"/>
  </r>
  <r>
    <x v="47"/>
    <x v="1"/>
    <n v="3160"/>
    <n v="234"/>
    <m/>
    <n v="1138871"/>
    <n v="5.6959041015180817E-2"/>
    <s v="No Campaign"/>
    <n v="21929"/>
  </r>
  <r>
    <x v="47"/>
    <x v="1"/>
    <n v="8031"/>
    <n v="476"/>
    <m/>
    <n v="1146426"/>
    <n v="0.11940413075069832"/>
    <s v="No Campaign"/>
    <n v="12539"/>
  </r>
  <r>
    <x v="47"/>
    <x v="1"/>
    <n v="6341"/>
    <n v="885"/>
    <m/>
    <n v="1151882"/>
    <n v="6.3457020771224837E-2"/>
    <s v="No Campaign"/>
    <n v="46727"/>
  </r>
  <r>
    <x v="48"/>
    <x v="3"/>
    <n v="1038"/>
    <n v="145"/>
    <m/>
    <n v="1152775"/>
    <n v="0.11093752033137431"/>
    <s v="No Campaign"/>
    <n v="55951"/>
  </r>
  <r>
    <x v="48"/>
    <x v="2"/>
    <n v="5875"/>
    <n v="665"/>
    <m/>
    <n v="1157985"/>
    <n v="6.9871371390821127E-2"/>
    <s v="No Campaign"/>
    <n v="32669"/>
  </r>
  <r>
    <x v="48"/>
    <x v="3"/>
    <n v="2256"/>
    <n v="189"/>
    <m/>
    <n v="1160052"/>
    <n v="2.8935771844710412E-2"/>
    <s v="No Campaign"/>
    <n v="15432"/>
  </r>
  <r>
    <x v="48"/>
    <x v="0"/>
    <n v="8697"/>
    <n v="738"/>
    <m/>
    <n v="1168011"/>
    <n v="3.877703206562267E-2"/>
    <s v="No Campaign"/>
    <n v="30644"/>
  </r>
  <r>
    <x v="49"/>
    <x v="0"/>
    <n v="3196"/>
    <n v="391"/>
    <m/>
    <n v="1170816"/>
    <n v="7.2439221876024931E-2"/>
    <s v="No Campaign"/>
    <n v="28745"/>
  </r>
  <r>
    <x v="49"/>
    <x v="3"/>
    <n v="8165"/>
    <n v="1140"/>
    <m/>
    <n v="1177841"/>
    <n v="9.0959645656756724E-2"/>
    <s v="No Campaign"/>
    <n v="38228"/>
  </r>
  <r>
    <x v="49"/>
    <x v="3"/>
    <n v="1301"/>
    <n v="180"/>
    <m/>
    <n v="1178962"/>
    <n v="5.2275645864752217E-2"/>
    <s v="No Campaign"/>
    <n v="44521"/>
  </r>
  <r>
    <x v="49"/>
    <x v="1"/>
    <n v="8527"/>
    <n v="1091"/>
    <n v="2805"/>
    <n v="1186398"/>
    <n v="0"/>
    <s v="No Campaign"/>
    <n v="417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D8B1A3-E6B0-458A-A7C6-0378872FB86B}" name="PivotTable17" cacheId="0" applyNumberFormats="0" applyBorderFormats="0" applyFontFormats="0" applyPatternFormats="0" applyAlignmentFormats="0" applyWidthHeightFormats="1" dataCaption="Values" missingCaption="0" updatedVersion="8" minRefreshableVersion="3" showDrill="0" useAutoFormatting="1" rowGrandTotals="0" colGrandTotals="0" itemPrintTitles="1" createdVersion="8" indent="0" outline="1" outlineData="1" multipleFieldFilters="0" chartFormat="1" rowHeaderCaption="Week_Start_Date">
  <location ref="A3:E14" firstHeaderRow="1" firstDataRow="2" firstDataCol="1"/>
  <pivotFields count="12">
    <pivotField axis="axisRow" numFmtId="14" showAll="0" measureFilter="1" sortType="descending">
      <items count="51"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3"/>
            </reference>
          </references>
        </pivotArea>
      </autoSortScope>
    </pivotField>
    <pivotField axis="axisCol" showAll="0">
      <items count="5">
        <item x="0"/>
        <item x="3"/>
        <item x="1"/>
        <item x="2"/>
        <item t="default"/>
      </items>
    </pivotField>
    <pivotField showAll="0"/>
    <pivotField showAll="0"/>
    <pivotField dataField="1" showAll="0"/>
    <pivotField showAll="0"/>
    <pivotField numFmtId="10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10">
    <i>
      <x v="49"/>
    </i>
    <i>
      <x v="38"/>
    </i>
    <i>
      <x v="42"/>
    </i>
    <i>
      <x v="40"/>
    </i>
    <i>
      <x v="39"/>
    </i>
    <i>
      <x v="46"/>
    </i>
    <i>
      <x v="41"/>
    </i>
    <i>
      <x v="48"/>
    </i>
    <i>
      <x v="43"/>
    </i>
    <i>
      <x v="44"/>
    </i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Sum of Net_Followers" fld="4" baseField="0" baseItem="0"/>
  </dataFields>
  <formats count="2">
    <format dxfId="1">
      <pivotArea dataOnly="0" fieldPosition="0">
        <references count="1">
          <reference field="0" count="10">
            <x v="38"/>
            <x v="39"/>
            <x v="40"/>
            <x v="41"/>
            <x v="42"/>
            <x v="43"/>
            <x v="44"/>
            <x v="46"/>
            <x v="48"/>
            <x v="49"/>
          </reference>
        </references>
      </pivotArea>
    </format>
    <format dxfId="0">
      <pivotArea type="all" dataOnly="0" outline="0" fieldPosition="0"/>
    </format>
  </format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16"/>
          </reference>
          <reference field="1" count="1" selected="0">
            <x v="3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19"/>
          </reference>
          <reference field="1" count="1" selected="0">
            <x v="3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41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3" xr16:uid="{F27FAC85-D57E-4514-96F8-069364104B1A}" autoFormatId="16" applyNumberFormats="0" applyBorderFormats="0" applyFontFormats="0" applyPatternFormats="0" applyAlignmentFormats="0" applyWidthHeightFormats="0">
  <queryTableRefresh nextId="12">
    <queryTableFields count="9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9" dataBound="0" tableColumnId="9"/>
      <queryTableField id="5" name="Total_Followers" tableColumnId="5"/>
      <queryTableField id="6" name="Engagement_Rate" tableColumnId="6"/>
      <queryTableField id="11" dataBound="0" tableColumnId="11"/>
      <queryTableField id="7" name="Ad_Spend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CB01BCF-FD27-47DB-AE26-0603935B59D5}" autoFormatId="16" applyNumberFormats="0" applyBorderFormats="0" applyFontFormats="0" applyPatternFormats="0" applyAlignmentFormats="0" applyWidthHeightFormats="0">
  <queryTableRefresh nextId="32" unboundColumnsRight="2">
    <queryTableFields count="16">
      <queryTableField id="1" name="PostID" tableColumnId="1"/>
      <queryTableField id="2" name="Platform" tableColumnId="2"/>
      <queryTableField id="3" name="Date" tableColumnId="3"/>
      <queryTableField id="4" name="ContentType" tableColumnId="4"/>
      <queryTableField id="13" name="Hashtags.1" tableColumnId="13"/>
      <queryTableField id="14" name="Hashtags.2" tableColumnId="14"/>
      <queryTableField id="19" dataBound="0" tableColumnId="5"/>
      <queryTableField id="6" name="Likes" tableColumnId="6"/>
      <queryTableField id="7" name="Shares" tableColumnId="7"/>
      <queryTableField id="8" name="Comments" tableColumnId="8"/>
      <queryTableField id="9" name="Clicks" tableColumnId="9"/>
      <queryTableField id="10" name="Reach" tableColumnId="10"/>
      <queryTableField id="11" name="Impressions" tableColumnId="11"/>
      <queryTableField id="12" name="Campaign" tableColumnId="12"/>
      <queryTableField id="31" dataBound="0" tableColumnId="22"/>
      <queryTableField id="30" dataBound="0" tableColumnId="2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09206AE9-8F21-46C8-84A7-15017B550F9B}" autoFormatId="16" applyNumberFormats="0" applyBorderFormats="0" applyFontFormats="0" applyPatternFormats="0" applyAlignmentFormats="0" applyWidthHeightFormats="0">
  <queryTableRefresh nextId="8">
    <queryTableFields count="7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Ad_Spend" tableColumnId="5"/>
      <queryTableField id="6" name="Impressions" tableColumnId="6"/>
      <queryTableField id="7" name="Engagement_Uplift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2DC4A537-C5D6-4A7A-BCD1-6D8C390926EC}" autoFormatId="16" applyNumberFormats="0" applyBorderFormats="0" applyFontFormats="0" applyPatternFormats="0" applyAlignmentFormats="0" applyWidthHeightFormats="0">
  <queryTableRefresh nextId="12">
    <queryTableFields count="9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9" dataBound="0" tableColumnId="9"/>
      <queryTableField id="5" name="Total_Followers" tableColumnId="5"/>
      <queryTableField id="6" name="Engagement_Rate" tableColumnId="6"/>
      <queryTableField id="11" dataBound="0" tableColumnId="11"/>
      <queryTableField id="7" name="Ad_Spend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8F1D078-B42B-4529-88D6-BDAC89F0C92D}" name="Engagement_Clean15" displayName="Engagement_Clean15" ref="A1:I201" tableType="queryTable" totalsRowShown="0" headerRowDxfId="36">
  <autoFilter ref="A1:I201" xr:uid="{31B66F70-8379-4862-A86F-EDC87C72601E}"/>
  <sortState xmlns:xlrd2="http://schemas.microsoft.com/office/spreadsheetml/2017/richdata2" ref="A2:I201">
    <sortCondition descending="1" ref="E2:E201"/>
  </sortState>
  <tableColumns count="9">
    <tableColumn id="1" xr3:uid="{54E9FD2E-713B-440C-A8A3-E888AB9DAD00}" uniqueName="1" name="Week_Start_Date" queryTableFieldId="1" dataDxfId="35"/>
    <tableColumn id="2" xr3:uid="{01B07DE9-775E-4A22-A249-ED98A66EABF8}" uniqueName="2" name="Platform" queryTableFieldId="2" dataDxfId="34"/>
    <tableColumn id="3" xr3:uid="{443DABD8-B7AF-4AF5-A740-65391D0A5233}" uniqueName="3" name="New_Followers" queryTableFieldId="3"/>
    <tableColumn id="4" xr3:uid="{29B54CB6-1F9A-4553-B8AB-19EB1C02A149}" uniqueName="4" name="Unfollows" queryTableFieldId="4"/>
    <tableColumn id="9" xr3:uid="{2E4E7889-6FE9-4DB9-8710-B40B554433A0}" uniqueName="9" name="Net_Followers" queryTableFieldId="9" dataDxfId="33"/>
    <tableColumn id="5" xr3:uid="{D726F479-CE84-4ED8-AD69-1D734B00DDAB}" uniqueName="5" name="Total_Followers" queryTableFieldId="5"/>
    <tableColumn id="6" xr3:uid="{D8B39C00-A5F0-4B05-AF2A-A4FC991A9CAE}" uniqueName="6" name="Engagement_Rate" queryTableFieldId="6" dataDxfId="32"/>
    <tableColumn id="11" xr3:uid="{F0E9D37A-0A94-4CC3-AB40-9B85981DFA6F}" uniqueName="11" name="Campaign" queryTableFieldId="11" dataDxfId="31"/>
    <tableColumn id="7" xr3:uid="{6AAB2384-BB0B-45E1-BA8C-65BCCC71E6FC}" uniqueName="7" name="Ad_Spend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5337B9-5F50-4D3A-8FAB-8CC84E76C219}" name="Posts" displayName="Posts" ref="A1:P268" tableType="queryTable" totalsRowShown="0" headerRowDxfId="30">
  <autoFilter ref="A1:P268" xr:uid="{FA7A742B-88E8-4F30-9C93-C10737617A6F}"/>
  <sortState xmlns:xlrd2="http://schemas.microsoft.com/office/spreadsheetml/2017/richdata2" ref="A2:P268">
    <sortCondition descending="1" ref="P1:P267"/>
  </sortState>
  <tableColumns count="16">
    <tableColumn id="1" xr3:uid="{34C5A3D2-51E7-40A3-BADF-E50AF2159E58}" uniqueName="1" name="PostID" queryTableFieldId="1" dataDxfId="29"/>
    <tableColumn id="2" xr3:uid="{2B8B32A7-1825-4072-B145-337397222D86}" uniqueName="2" name="Platform" queryTableFieldId="2" dataDxfId="28"/>
    <tableColumn id="3" xr3:uid="{0B089E9D-839A-465B-A3DE-653C5B727DED}" uniqueName="3" name="Date" queryTableFieldId="3" dataDxfId="27"/>
    <tableColumn id="4" xr3:uid="{EB0494C2-A11B-4B36-9700-B3D02B88E811}" uniqueName="4" name="ContentType" queryTableFieldId="4" dataDxfId="26"/>
    <tableColumn id="13" xr3:uid="{FC29E41C-082C-428A-A41D-EB106BA8386A}" uniqueName="13" name="Hashtags.1" queryTableFieldId="13" dataDxfId="25"/>
    <tableColumn id="14" xr3:uid="{CADA4EF2-7AF2-42D8-BC25-93027D2FCB68}" uniqueName="14" name="Hashtags.2" queryTableFieldId="14" dataDxfId="24"/>
    <tableColumn id="5" xr3:uid="{8CF4C924-DE15-4812-8D86-27E970CAA8E4}" uniqueName="5" name="All_Hashtgs" queryTableFieldId="19" dataDxfId="23">
      <calculatedColumnFormula>E2 &amp; "," &amp; F2</calculatedColumnFormula>
    </tableColumn>
    <tableColumn id="6" xr3:uid="{6A807EED-AF09-4FBB-8CBD-FEAA11C08C5D}" uniqueName="6" name="Likes" queryTableFieldId="6" dataDxfId="22"/>
    <tableColumn id="7" xr3:uid="{BB55A656-1369-4A27-A61E-B5FAE9F5DB5F}" uniqueName="7" name="Shares" queryTableFieldId="7" dataDxfId="21"/>
    <tableColumn id="8" xr3:uid="{37CCEE97-97DF-449D-B2AA-46420AC3EAD3}" uniqueName="8" name="Comments" queryTableFieldId="8" dataDxfId="20"/>
    <tableColumn id="9" xr3:uid="{BE1D8639-733D-45E0-850F-2E97681E6F65}" uniqueName="9" name="Clicks" queryTableFieldId="9" dataDxfId="19"/>
    <tableColumn id="10" xr3:uid="{65C61EDB-5D77-4034-BA14-F2397FF8F667}" uniqueName="10" name="Reach" queryTableFieldId="10" dataDxfId="18"/>
    <tableColumn id="11" xr3:uid="{D4CD6CEB-4BAF-43B5-8E33-9DC1C19E0228}" uniqueName="11" name="Impressions" queryTableFieldId="11" dataDxfId="17"/>
    <tableColumn id="12" xr3:uid="{DAFED05A-83B6-4828-B46E-89BDB66C2F78}" uniqueName="12" name="Campaign" queryTableFieldId="12" dataDxfId="16"/>
    <tableColumn id="22" xr3:uid="{CF4ECFF2-6723-4F90-AA24-33A035008B39}" uniqueName="22" name="Period_new" queryTableFieldId="31" dataDxfId="15">
      <calculatedColumnFormula>IF(ISNUMBER(SEARCH("iPhone 16",N2)),"During","Before")</calculatedColumnFormula>
    </tableColumn>
    <tableColumn id="21" xr3:uid="{36BEDD28-02BB-4451-861F-B505C564508F}" uniqueName="21" name="Engagement_rate" queryTableFieldId="30" dataDxfId="1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A74CFD-AEFC-404A-B845-602FF0B415F9}" name="Campaign_clean7" displayName="Campaign_clean7" ref="A1:G6" tableType="queryTable" totalsRowShown="0" headerRowDxfId="13">
  <autoFilter ref="A1:G6" xr:uid="{2F2C6259-2BCB-45BE-B66F-E9EC24A7D94F}"/>
  <tableColumns count="7">
    <tableColumn id="1" xr3:uid="{60FAB1B9-7763-4188-9F4D-C584D5A451D7}" uniqueName="1" name="Campaign_Name" queryTableFieldId="1" dataDxfId="12"/>
    <tableColumn id="2" xr3:uid="{AA905932-3E4E-4D84-A8D9-5D080EC48E3E}" uniqueName="2" name="Start_Date" queryTableFieldId="2" dataDxfId="11"/>
    <tableColumn id="3" xr3:uid="{B19067C1-4D3B-4982-B44C-D67A47E8FE5A}" uniqueName="3" name="End_Date" queryTableFieldId="3" dataDxfId="10"/>
    <tableColumn id="4" xr3:uid="{2CD655BC-4FF6-480A-83E0-6A3581A9FE3D}" uniqueName="4" name="Objective" queryTableFieldId="4" dataDxfId="9"/>
    <tableColumn id="5" xr3:uid="{DC4B7F7A-B1AD-4E7B-AFFB-289AB747BABB}" uniqueName="5" name="Ad_Spend" queryTableFieldId="5"/>
    <tableColumn id="6" xr3:uid="{4E237BF4-93EC-44E6-9DC6-FDE0D2CD8DDB}" uniqueName="6" name="Impressions" queryTableFieldId="6"/>
    <tableColumn id="7" xr3:uid="{BAF06520-AA02-45D3-8D7B-B9AF3750D5BE}" uniqueName="7" name="Engagement_Uplift" queryTableFieldId="7" dataDxf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94ACC3-54B1-412B-8BB6-E665C0053103}" name="Engagement_Clean1" displayName="Engagement_Clean1" ref="A1:I201" tableType="queryTable" totalsRowShown="0" headerRowDxfId="7">
  <autoFilter ref="A1:I201" xr:uid="{31B66F70-8379-4862-A86F-EDC87C72601E}"/>
  <tableColumns count="9">
    <tableColumn id="1" xr3:uid="{832BAAB8-1C95-40EA-BC95-685137F966E1}" uniqueName="1" name="Week_Start_Date" queryTableFieldId="1" dataDxfId="6"/>
    <tableColumn id="2" xr3:uid="{96FCC86D-1BEC-44CB-98C4-64A4E0773AF8}" uniqueName="2" name="Platform" queryTableFieldId="2" dataDxfId="5"/>
    <tableColumn id="3" xr3:uid="{DC6C563E-4E4C-4412-9588-83D11BE6C908}" uniqueName="3" name="New_Followers" queryTableFieldId="3"/>
    <tableColumn id="4" xr3:uid="{E4C91B8A-13AB-4E85-B9EA-411B5E82B6C3}" uniqueName="4" name="Unfollows" queryTableFieldId="4"/>
    <tableColumn id="9" xr3:uid="{FF8616F1-B268-4DAC-95E9-3FB48C10AF06}" uniqueName="9" name="Net_Followers" queryTableFieldId="9" dataDxfId="4"/>
    <tableColumn id="5" xr3:uid="{6B362AD0-8D19-4C72-88A9-3C2E64A0249E}" uniqueName="5" name="Total_Followers" queryTableFieldId="5"/>
    <tableColumn id="6" xr3:uid="{3F43D13B-67D7-4E36-A0DD-B829178B6B61}" uniqueName="6" name="Engagement_Rate" queryTableFieldId="6" dataDxfId="3"/>
    <tableColumn id="11" xr3:uid="{E9908912-D2D0-461A-9745-31D8684EA7D1}" uniqueName="11" name="Campaign" queryTableFieldId="11" dataDxfId="2"/>
    <tableColumn id="7" xr3:uid="{19C58644-803E-4703-97EF-0F601DD2A519}" uniqueName="7" name="Ad_Spend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0058B-08DC-4486-BEAA-022ABEF30188}">
  <dimension ref="A1:K201"/>
  <sheetViews>
    <sheetView tabSelected="1" topLeftCell="A175" workbookViewId="0">
      <selection activeCell="M190" sqref="M190"/>
    </sheetView>
  </sheetViews>
  <sheetFormatPr defaultRowHeight="14.4"/>
  <cols>
    <col min="1" max="1" width="18" bestFit="1" customWidth="1"/>
    <col min="2" max="2" width="10.5546875" bestFit="1" customWidth="1"/>
    <col min="3" max="3" width="16" bestFit="1" customWidth="1"/>
    <col min="4" max="4" width="11.6640625" bestFit="1" customWidth="1"/>
    <col min="5" max="5" width="15.109375" bestFit="1" customWidth="1"/>
    <col min="6" max="6" width="16.44140625" bestFit="1" customWidth="1"/>
    <col min="7" max="7" width="18.6640625" bestFit="1" customWidth="1"/>
    <col min="8" max="8" width="26" bestFit="1" customWidth="1"/>
    <col min="9" max="9" width="11.88671875" bestFit="1" customWidth="1"/>
    <col min="10" max="10" width="11.88671875" customWidth="1"/>
  </cols>
  <sheetData>
    <row r="1" spans="1:11" s="9" customFormat="1">
      <c r="A1" s="8" t="s">
        <v>314</v>
      </c>
      <c r="B1" s="8" t="s">
        <v>1</v>
      </c>
      <c r="C1" s="8" t="s">
        <v>315</v>
      </c>
      <c r="D1" s="8" t="s">
        <v>316</v>
      </c>
      <c r="E1" s="8" t="s">
        <v>317</v>
      </c>
      <c r="F1" s="8" t="s">
        <v>318</v>
      </c>
      <c r="G1" s="8" t="s">
        <v>319</v>
      </c>
      <c r="H1" s="8" t="s">
        <v>13</v>
      </c>
      <c r="I1" s="8" t="s">
        <v>320</v>
      </c>
    </row>
    <row r="2" spans="1:11">
      <c r="A2" s="5">
        <v>45495</v>
      </c>
      <c r="B2" t="s">
        <v>17</v>
      </c>
      <c r="C2">
        <v>9734</v>
      </c>
      <c r="D2">
        <v>652</v>
      </c>
      <c r="E2">
        <v>9254</v>
      </c>
      <c r="F2">
        <v>289283</v>
      </c>
      <c r="G2" s="7">
        <v>0.49647922622483864</v>
      </c>
      <c r="H2" t="s">
        <v>321</v>
      </c>
      <c r="I2">
        <v>25379</v>
      </c>
    </row>
    <row r="3" spans="1:11">
      <c r="A3" s="5">
        <v>45509</v>
      </c>
      <c r="B3" t="s">
        <v>17</v>
      </c>
      <c r="C3">
        <v>2884</v>
      </c>
      <c r="D3">
        <v>341</v>
      </c>
      <c r="E3">
        <v>9125</v>
      </c>
      <c r="F3">
        <v>315557</v>
      </c>
      <c r="G3" s="7">
        <v>0.46999749649033307</v>
      </c>
      <c r="H3" t="s">
        <v>321</v>
      </c>
      <c r="I3">
        <v>26087</v>
      </c>
    </row>
    <row r="4" spans="1:11">
      <c r="A4" s="5">
        <v>45516</v>
      </c>
      <c r="B4" t="s">
        <v>17</v>
      </c>
      <c r="C4">
        <v>7430</v>
      </c>
      <c r="D4">
        <v>397</v>
      </c>
      <c r="E4">
        <v>9044</v>
      </c>
      <c r="F4">
        <v>340085</v>
      </c>
      <c r="G4" s="7">
        <v>0.28065042562888687</v>
      </c>
      <c r="H4" t="s">
        <v>321</v>
      </c>
      <c r="I4">
        <v>16643</v>
      </c>
    </row>
    <row r="5" spans="1:11">
      <c r="A5" s="5">
        <v>45516</v>
      </c>
      <c r="B5" t="s">
        <v>48</v>
      </c>
      <c r="C5">
        <v>6179</v>
      </c>
      <c r="D5">
        <v>384</v>
      </c>
      <c r="E5">
        <v>8723</v>
      </c>
      <c r="F5">
        <v>326199</v>
      </c>
      <c r="G5" s="7">
        <v>0.14712184893270672</v>
      </c>
      <c r="H5" t="s">
        <v>321</v>
      </c>
      <c r="I5">
        <v>33225</v>
      </c>
    </row>
    <row r="6" spans="1:11">
      <c r="A6" s="5">
        <v>45446</v>
      </c>
      <c r="B6" t="s">
        <v>17</v>
      </c>
      <c r="C6">
        <v>8842</v>
      </c>
      <c r="D6">
        <v>971</v>
      </c>
      <c r="E6">
        <v>8654</v>
      </c>
      <c r="F6">
        <v>127203</v>
      </c>
      <c r="G6" s="7">
        <v>0.16351815601833292</v>
      </c>
      <c r="H6" t="s">
        <v>321</v>
      </c>
      <c r="I6">
        <v>33928</v>
      </c>
    </row>
    <row r="7" spans="1:11">
      <c r="A7" s="5">
        <v>45502</v>
      </c>
      <c r="B7" t="s">
        <v>23</v>
      </c>
      <c r="C7">
        <v>6777</v>
      </c>
      <c r="D7">
        <v>981</v>
      </c>
      <c r="E7">
        <v>8518</v>
      </c>
      <c r="F7">
        <v>296820</v>
      </c>
      <c r="G7" s="7">
        <v>0.23920557913887203</v>
      </c>
      <c r="H7" t="s">
        <v>321</v>
      </c>
      <c r="I7">
        <v>53590</v>
      </c>
    </row>
    <row r="8" spans="1:11">
      <c r="A8" s="5">
        <v>45488</v>
      </c>
      <c r="B8" t="s">
        <v>48</v>
      </c>
      <c r="C8">
        <v>8137</v>
      </c>
      <c r="D8">
        <v>1045</v>
      </c>
      <c r="E8">
        <v>8485</v>
      </c>
      <c r="F8">
        <v>253858</v>
      </c>
      <c r="G8" s="7">
        <v>0.2047246886054408</v>
      </c>
      <c r="H8" t="s">
        <v>37</v>
      </c>
      <c r="I8">
        <v>12023</v>
      </c>
    </row>
    <row r="9" spans="1:11">
      <c r="A9" s="5">
        <v>45474</v>
      </c>
      <c r="B9" t="s">
        <v>48</v>
      </c>
      <c r="C9">
        <v>9429</v>
      </c>
      <c r="D9">
        <v>966</v>
      </c>
      <c r="E9">
        <v>8361</v>
      </c>
      <c r="F9">
        <v>218723</v>
      </c>
      <c r="G9" s="7">
        <v>7.6914636320825888E-2</v>
      </c>
      <c r="H9" t="s">
        <v>37</v>
      </c>
      <c r="I9">
        <v>57639</v>
      </c>
    </row>
    <row r="10" spans="1:11">
      <c r="A10" s="5">
        <v>45495</v>
      </c>
      <c r="B10" t="s">
        <v>23</v>
      </c>
      <c r="C10">
        <v>8967</v>
      </c>
      <c r="D10">
        <v>993</v>
      </c>
      <c r="E10">
        <v>8200</v>
      </c>
      <c r="F10">
        <v>280201</v>
      </c>
      <c r="G10" s="7">
        <v>0.52792102811910024</v>
      </c>
      <c r="H10" t="s">
        <v>321</v>
      </c>
      <c r="I10">
        <v>47804</v>
      </c>
    </row>
    <row r="11" spans="1:11">
      <c r="A11" s="5">
        <v>45523</v>
      </c>
      <c r="B11" t="s">
        <v>17</v>
      </c>
      <c r="C11">
        <v>5737</v>
      </c>
      <c r="D11">
        <v>666</v>
      </c>
      <c r="E11">
        <v>7849</v>
      </c>
      <c r="F11">
        <v>359081</v>
      </c>
      <c r="G11" s="7">
        <v>4.6034181702735592E-2</v>
      </c>
      <c r="H11" t="s">
        <v>321</v>
      </c>
      <c r="I11">
        <v>21005</v>
      </c>
    </row>
    <row r="12" spans="1:11">
      <c r="A12" s="5">
        <v>45474</v>
      </c>
      <c r="B12" t="s">
        <v>28</v>
      </c>
      <c r="C12">
        <v>2960</v>
      </c>
      <c r="D12">
        <v>234</v>
      </c>
      <c r="E12">
        <v>7767</v>
      </c>
      <c r="F12">
        <v>224651</v>
      </c>
      <c r="G12" s="7">
        <v>0.17412786945083711</v>
      </c>
      <c r="H12" t="s">
        <v>37</v>
      </c>
      <c r="I12">
        <v>59378</v>
      </c>
      <c r="K12">
        <f>MAX(E:E)</f>
        <v>9254</v>
      </c>
    </row>
    <row r="13" spans="1:11">
      <c r="A13" s="5">
        <v>45481</v>
      </c>
      <c r="B13" t="s">
        <v>48</v>
      </c>
      <c r="C13">
        <v>8045</v>
      </c>
      <c r="D13">
        <v>894</v>
      </c>
      <c r="E13">
        <v>7565</v>
      </c>
      <c r="F13">
        <v>231802</v>
      </c>
      <c r="G13" s="7">
        <v>0.47634187798207089</v>
      </c>
      <c r="H13" t="s">
        <v>37</v>
      </c>
      <c r="I13">
        <v>33705</v>
      </c>
    </row>
    <row r="14" spans="1:11">
      <c r="A14" s="5">
        <v>45516</v>
      </c>
      <c r="B14" t="s">
        <v>28</v>
      </c>
      <c r="C14">
        <v>7610</v>
      </c>
      <c r="D14">
        <v>757</v>
      </c>
      <c r="E14">
        <v>7509</v>
      </c>
      <c r="F14">
        <v>333052</v>
      </c>
      <c r="G14" s="7">
        <v>0.44450416151231642</v>
      </c>
      <c r="H14" t="s">
        <v>321</v>
      </c>
      <c r="I14">
        <v>39750</v>
      </c>
    </row>
    <row r="15" spans="1:11">
      <c r="A15" s="5">
        <v>45502</v>
      </c>
      <c r="B15" t="s">
        <v>23</v>
      </c>
      <c r="C15">
        <v>1845</v>
      </c>
      <c r="D15">
        <v>104</v>
      </c>
      <c r="E15">
        <v>7471</v>
      </c>
      <c r="F15">
        <v>291024</v>
      </c>
      <c r="G15" s="7">
        <v>0.28158158777282971</v>
      </c>
      <c r="H15" t="s">
        <v>321</v>
      </c>
      <c r="I15">
        <v>37766</v>
      </c>
    </row>
    <row r="16" spans="1:11">
      <c r="A16" s="5">
        <v>45446</v>
      </c>
      <c r="B16" t="s">
        <v>17</v>
      </c>
      <c r="C16">
        <v>9264</v>
      </c>
      <c r="D16">
        <v>1141</v>
      </c>
      <c r="E16">
        <v>7452</v>
      </c>
      <c r="F16">
        <v>119332</v>
      </c>
      <c r="G16" s="7">
        <v>0.92312204605638049</v>
      </c>
      <c r="H16" t="s">
        <v>321</v>
      </c>
      <c r="I16">
        <v>50372</v>
      </c>
    </row>
    <row r="17" spans="1:9">
      <c r="A17" s="5">
        <v>45467</v>
      </c>
      <c r="B17" t="s">
        <v>17</v>
      </c>
      <c r="C17">
        <v>9286</v>
      </c>
      <c r="D17">
        <v>633</v>
      </c>
      <c r="E17">
        <v>7442</v>
      </c>
      <c r="F17">
        <v>198388</v>
      </c>
      <c r="G17" s="7">
        <v>5.4343004617214759E-2</v>
      </c>
      <c r="H17" t="s">
        <v>37</v>
      </c>
      <c r="I17">
        <v>48019</v>
      </c>
    </row>
    <row r="18" spans="1:9">
      <c r="A18" s="5">
        <v>45453</v>
      </c>
      <c r="B18" t="s">
        <v>48</v>
      </c>
      <c r="C18">
        <v>3978</v>
      </c>
      <c r="D18">
        <v>543</v>
      </c>
      <c r="E18">
        <v>7429</v>
      </c>
      <c r="F18">
        <v>150265</v>
      </c>
      <c r="G18" s="7">
        <v>0.4915981765547533</v>
      </c>
      <c r="H18" t="s">
        <v>321</v>
      </c>
      <c r="I18">
        <v>34286</v>
      </c>
    </row>
    <row r="19" spans="1:9">
      <c r="A19" s="5">
        <v>45502</v>
      </c>
      <c r="B19" t="s">
        <v>17</v>
      </c>
      <c r="C19">
        <v>4036</v>
      </c>
      <c r="D19">
        <v>591</v>
      </c>
      <c r="E19">
        <v>7260</v>
      </c>
      <c r="F19">
        <v>300265</v>
      </c>
      <c r="G19" s="7">
        <v>0.44219272975538271</v>
      </c>
      <c r="H19" t="s">
        <v>321</v>
      </c>
      <c r="I19">
        <v>12563</v>
      </c>
    </row>
    <row r="20" spans="1:9">
      <c r="A20" s="5">
        <v>45467</v>
      </c>
      <c r="B20" t="s">
        <v>48</v>
      </c>
      <c r="C20">
        <v>6901</v>
      </c>
      <c r="D20">
        <v>471</v>
      </c>
      <c r="E20">
        <v>7224</v>
      </c>
      <c r="F20">
        <v>204818</v>
      </c>
      <c r="G20" s="7">
        <v>0.60827661631301944</v>
      </c>
      <c r="H20" t="s">
        <v>37</v>
      </c>
      <c r="I20">
        <v>52003</v>
      </c>
    </row>
    <row r="21" spans="1:9">
      <c r="A21" s="5">
        <v>45481</v>
      </c>
      <c r="B21" t="s">
        <v>23</v>
      </c>
      <c r="C21">
        <v>6772</v>
      </c>
      <c r="D21">
        <v>536</v>
      </c>
      <c r="E21">
        <v>7218</v>
      </c>
      <c r="F21">
        <v>239956</v>
      </c>
      <c r="G21" s="7">
        <v>9.8205504342462793E-2</v>
      </c>
      <c r="H21" t="s">
        <v>37</v>
      </c>
      <c r="I21">
        <v>17909</v>
      </c>
    </row>
    <row r="22" spans="1:9">
      <c r="A22" s="5">
        <v>45446</v>
      </c>
      <c r="B22" t="s">
        <v>48</v>
      </c>
      <c r="C22">
        <v>8693</v>
      </c>
      <c r="D22">
        <v>1261</v>
      </c>
      <c r="E22">
        <v>7215</v>
      </c>
      <c r="F22">
        <v>111209</v>
      </c>
      <c r="G22" s="7">
        <v>0.69475492091467417</v>
      </c>
      <c r="H22" t="s">
        <v>321</v>
      </c>
      <c r="I22">
        <v>29873</v>
      </c>
    </row>
    <row r="23" spans="1:9">
      <c r="A23" s="5">
        <v>45453</v>
      </c>
      <c r="B23" t="s">
        <v>17</v>
      </c>
      <c r="C23">
        <v>8002</v>
      </c>
      <c r="D23">
        <v>524</v>
      </c>
      <c r="E23">
        <v>7151</v>
      </c>
      <c r="F23">
        <v>141896</v>
      </c>
      <c r="G23" s="7">
        <v>0.52064892597395274</v>
      </c>
      <c r="H23" t="s">
        <v>321</v>
      </c>
      <c r="I23">
        <v>46751</v>
      </c>
    </row>
    <row r="24" spans="1:9">
      <c r="A24" s="5">
        <v>45460</v>
      </c>
      <c r="B24" t="s">
        <v>28</v>
      </c>
      <c r="C24">
        <v>6656</v>
      </c>
      <c r="D24">
        <v>978</v>
      </c>
      <c r="E24">
        <v>6920</v>
      </c>
      <c r="F24">
        <v>176196</v>
      </c>
      <c r="G24" s="7">
        <v>0.60425889350496043</v>
      </c>
      <c r="H24" t="s">
        <v>37</v>
      </c>
      <c r="I24">
        <v>27081</v>
      </c>
    </row>
    <row r="25" spans="1:9">
      <c r="A25" s="5">
        <v>45488</v>
      </c>
      <c r="B25" t="s">
        <v>28</v>
      </c>
      <c r="C25">
        <v>1536</v>
      </c>
      <c r="D25">
        <v>155</v>
      </c>
      <c r="E25">
        <v>6642</v>
      </c>
      <c r="F25">
        <v>257065</v>
      </c>
      <c r="G25" s="7">
        <v>0.12157625503277381</v>
      </c>
      <c r="H25" t="s">
        <v>37</v>
      </c>
      <c r="I25">
        <v>36661</v>
      </c>
    </row>
    <row r="26" spans="1:9">
      <c r="A26" s="5">
        <v>45509</v>
      </c>
      <c r="B26" t="s">
        <v>23</v>
      </c>
      <c r="C26">
        <v>5349</v>
      </c>
      <c r="D26">
        <v>502</v>
      </c>
      <c r="E26">
        <v>6631</v>
      </c>
      <c r="F26">
        <v>320404</v>
      </c>
      <c r="G26" s="7">
        <v>5.2152906954969352E-2</v>
      </c>
      <c r="H26" t="s">
        <v>321</v>
      </c>
      <c r="I26">
        <v>58868</v>
      </c>
    </row>
    <row r="27" spans="1:9">
      <c r="A27" s="5">
        <v>45481</v>
      </c>
      <c r="B27" t="s">
        <v>23</v>
      </c>
      <c r="C27">
        <v>2048</v>
      </c>
      <c r="D27">
        <v>130</v>
      </c>
      <c r="E27">
        <v>6439</v>
      </c>
      <c r="F27">
        <v>233720</v>
      </c>
      <c r="G27" s="7">
        <v>0.39284614068115686</v>
      </c>
      <c r="H27" t="s">
        <v>37</v>
      </c>
      <c r="I27">
        <v>11828</v>
      </c>
    </row>
    <row r="28" spans="1:9">
      <c r="A28" s="5">
        <v>45523</v>
      </c>
      <c r="B28" t="s">
        <v>28</v>
      </c>
      <c r="C28">
        <v>7488</v>
      </c>
      <c r="D28">
        <v>568</v>
      </c>
      <c r="E28">
        <v>6434</v>
      </c>
      <c r="F28">
        <v>354010</v>
      </c>
      <c r="G28" s="7">
        <v>0.13477302901047991</v>
      </c>
      <c r="H28" t="s">
        <v>321</v>
      </c>
      <c r="I28">
        <v>46727</v>
      </c>
    </row>
    <row r="29" spans="1:9">
      <c r="A29" s="5">
        <v>45516</v>
      </c>
      <c r="B29" t="s">
        <v>48</v>
      </c>
      <c r="C29">
        <v>8154</v>
      </c>
      <c r="D29">
        <v>1149</v>
      </c>
      <c r="E29">
        <v>6272</v>
      </c>
      <c r="F29">
        <v>347090</v>
      </c>
      <c r="G29" s="7">
        <v>0.26003918292085632</v>
      </c>
      <c r="H29" t="s">
        <v>321</v>
      </c>
      <c r="I29">
        <v>37523</v>
      </c>
    </row>
    <row r="30" spans="1:9">
      <c r="A30" s="5">
        <v>45460</v>
      </c>
      <c r="B30" t="s">
        <v>23</v>
      </c>
      <c r="C30">
        <v>7097</v>
      </c>
      <c r="D30">
        <v>369</v>
      </c>
      <c r="E30">
        <v>5795</v>
      </c>
      <c r="F30">
        <v>170518</v>
      </c>
      <c r="G30" s="7">
        <v>9.2506362964613717E-2</v>
      </c>
      <c r="H30" t="s">
        <v>37</v>
      </c>
      <c r="I30">
        <v>33762</v>
      </c>
    </row>
    <row r="31" spans="1:9">
      <c r="A31" s="5">
        <v>45467</v>
      </c>
      <c r="B31" t="s">
        <v>28</v>
      </c>
      <c r="C31">
        <v>5259</v>
      </c>
      <c r="D31">
        <v>374</v>
      </c>
      <c r="E31">
        <v>5520</v>
      </c>
      <c r="F31">
        <v>189735</v>
      </c>
      <c r="G31" s="7">
        <v>0.14827522597306769</v>
      </c>
      <c r="H31" t="s">
        <v>37</v>
      </c>
      <c r="I31">
        <v>19596</v>
      </c>
    </row>
    <row r="32" spans="1:9">
      <c r="A32" s="5">
        <v>45523</v>
      </c>
      <c r="B32" t="s">
        <v>28</v>
      </c>
      <c r="C32">
        <v>7525</v>
      </c>
      <c r="D32">
        <v>610</v>
      </c>
      <c r="E32">
        <v>5491</v>
      </c>
      <c r="F32">
        <v>365996</v>
      </c>
      <c r="G32" s="7">
        <v>5.7694619613329112E-2</v>
      </c>
      <c r="H32" t="s">
        <v>321</v>
      </c>
      <c r="I32">
        <v>53543</v>
      </c>
    </row>
    <row r="33" spans="1:9">
      <c r="A33" s="5">
        <v>45453</v>
      </c>
      <c r="B33" t="s">
        <v>28</v>
      </c>
      <c r="C33">
        <v>7721</v>
      </c>
      <c r="D33">
        <v>506</v>
      </c>
      <c r="E33">
        <v>5442</v>
      </c>
      <c r="F33">
        <v>134418</v>
      </c>
      <c r="G33" s="7">
        <v>0.35577824398518049</v>
      </c>
      <c r="H33" t="s">
        <v>321</v>
      </c>
      <c r="I33">
        <v>25379</v>
      </c>
    </row>
    <row r="34" spans="1:9">
      <c r="A34" s="5">
        <v>45488</v>
      </c>
      <c r="B34" t="s">
        <v>28</v>
      </c>
      <c r="C34">
        <v>3964</v>
      </c>
      <c r="D34">
        <v>378</v>
      </c>
      <c r="E34">
        <v>5206</v>
      </c>
      <c r="F34">
        <v>246766</v>
      </c>
      <c r="G34" s="7">
        <v>0.136355899921383</v>
      </c>
      <c r="H34" t="s">
        <v>37</v>
      </c>
      <c r="I34">
        <v>23109</v>
      </c>
    </row>
    <row r="35" spans="1:9">
      <c r="A35" s="5">
        <v>45502</v>
      </c>
      <c r="B35" t="s">
        <v>48</v>
      </c>
      <c r="C35">
        <v>6947</v>
      </c>
      <c r="D35">
        <v>908</v>
      </c>
      <c r="E35">
        <v>3805</v>
      </c>
      <c r="F35">
        <v>306304</v>
      </c>
      <c r="G35" s="7">
        <v>0.14117673944839121</v>
      </c>
      <c r="H35" t="s">
        <v>321</v>
      </c>
      <c r="I35">
        <v>46060</v>
      </c>
    </row>
    <row r="36" spans="1:9">
      <c r="A36" s="5">
        <v>45446</v>
      </c>
      <c r="B36" t="s">
        <v>28</v>
      </c>
      <c r="C36">
        <v>4138</v>
      </c>
      <c r="D36">
        <v>361</v>
      </c>
      <c r="E36">
        <v>3777</v>
      </c>
      <c r="F36">
        <v>103777</v>
      </c>
      <c r="G36" s="7">
        <v>0.5663779064725325</v>
      </c>
      <c r="H36" s="10" t="s">
        <v>321</v>
      </c>
      <c r="I36">
        <v>23944</v>
      </c>
    </row>
    <row r="37" spans="1:9">
      <c r="A37" s="5">
        <v>45495</v>
      </c>
      <c r="B37" t="s">
        <v>23</v>
      </c>
      <c r="C37">
        <v>8340</v>
      </c>
      <c r="D37">
        <v>911</v>
      </c>
      <c r="E37">
        <v>3592</v>
      </c>
      <c r="F37">
        <v>264494</v>
      </c>
      <c r="G37" s="7">
        <v>0.37302925586213681</v>
      </c>
      <c r="H37" t="s">
        <v>321</v>
      </c>
      <c r="I37">
        <v>48659</v>
      </c>
    </row>
    <row r="38" spans="1:9">
      <c r="A38" s="5">
        <v>45453</v>
      </c>
      <c r="B38" t="s">
        <v>48</v>
      </c>
      <c r="C38">
        <v>5225</v>
      </c>
      <c r="D38">
        <v>291</v>
      </c>
      <c r="E38">
        <v>3586</v>
      </c>
      <c r="F38">
        <v>146830</v>
      </c>
      <c r="G38" s="7">
        <v>0.19551862698358652</v>
      </c>
      <c r="H38" t="s">
        <v>321</v>
      </c>
      <c r="I38">
        <v>44546</v>
      </c>
    </row>
    <row r="39" spans="1:9">
      <c r="A39" s="5">
        <v>45509</v>
      </c>
      <c r="B39" t="s">
        <v>28</v>
      </c>
      <c r="C39">
        <v>3494</v>
      </c>
      <c r="D39">
        <v>281</v>
      </c>
      <c r="E39">
        <v>3420</v>
      </c>
      <c r="F39">
        <v>309517</v>
      </c>
      <c r="G39" s="7">
        <v>0.27765518533715428</v>
      </c>
      <c r="H39" t="s">
        <v>321</v>
      </c>
      <c r="I39">
        <v>39197</v>
      </c>
    </row>
    <row r="40" spans="1:9">
      <c r="A40" s="5">
        <v>45460</v>
      </c>
      <c r="B40" t="s">
        <v>48</v>
      </c>
      <c r="C40">
        <v>6907</v>
      </c>
      <c r="D40">
        <v>834</v>
      </c>
      <c r="E40">
        <v>3213</v>
      </c>
      <c r="F40">
        <v>163790</v>
      </c>
      <c r="G40" s="7">
        <v>0.54158984064961235</v>
      </c>
      <c r="H40" t="s">
        <v>37</v>
      </c>
      <c r="I40">
        <v>22087</v>
      </c>
    </row>
    <row r="41" spans="1:9">
      <c r="A41" s="5">
        <v>45789</v>
      </c>
      <c r="B41" t="s">
        <v>48</v>
      </c>
      <c r="C41">
        <v>8527</v>
      </c>
      <c r="D41">
        <v>1091</v>
      </c>
      <c r="E41">
        <v>2805</v>
      </c>
      <c r="F41">
        <v>1186398</v>
      </c>
      <c r="G41" s="7">
        <v>0</v>
      </c>
      <c r="H41" t="s">
        <v>321</v>
      </c>
      <c r="I41">
        <v>41703</v>
      </c>
    </row>
    <row r="42" spans="1:9">
      <c r="A42" s="5">
        <v>45474</v>
      </c>
      <c r="B42" t="s">
        <v>28</v>
      </c>
      <c r="C42">
        <v>3530</v>
      </c>
      <c r="D42">
        <v>328</v>
      </c>
      <c r="E42">
        <v>2421</v>
      </c>
      <c r="F42">
        <v>221925</v>
      </c>
      <c r="G42" s="7">
        <v>0.12837219781457701</v>
      </c>
      <c r="H42" t="s">
        <v>37</v>
      </c>
      <c r="I42">
        <v>11013</v>
      </c>
    </row>
    <row r="43" spans="1:9">
      <c r="A43" s="5">
        <v>45460</v>
      </c>
      <c r="B43" t="s">
        <v>28</v>
      </c>
      <c r="C43">
        <v>8373</v>
      </c>
      <c r="D43">
        <v>921</v>
      </c>
      <c r="E43">
        <v>1741</v>
      </c>
      <c r="F43">
        <v>157717</v>
      </c>
      <c r="G43" s="7">
        <v>0.12226329438170901</v>
      </c>
      <c r="H43" t="s">
        <v>37</v>
      </c>
      <c r="I43">
        <v>15110</v>
      </c>
    </row>
    <row r="44" spans="1:9">
      <c r="A44" s="5">
        <v>45467</v>
      </c>
      <c r="B44" t="s">
        <v>48</v>
      </c>
      <c r="C44">
        <v>9984</v>
      </c>
      <c r="D44">
        <v>1330</v>
      </c>
      <c r="E44">
        <v>1513</v>
      </c>
      <c r="F44">
        <v>184850</v>
      </c>
      <c r="G44" s="7">
        <v>0.57524479307546661</v>
      </c>
      <c r="H44" t="s">
        <v>37</v>
      </c>
      <c r="I44">
        <v>44947</v>
      </c>
    </row>
    <row r="45" spans="1:9">
      <c r="A45" s="5">
        <v>45523</v>
      </c>
      <c r="B45" t="s">
        <v>17</v>
      </c>
      <c r="C45">
        <v>4850</v>
      </c>
      <c r="D45">
        <v>494</v>
      </c>
      <c r="E45">
        <v>1512</v>
      </c>
      <c r="F45">
        <v>370352</v>
      </c>
      <c r="G45" s="7">
        <v>0.2046539508359615</v>
      </c>
      <c r="H45" t="s">
        <v>321</v>
      </c>
      <c r="I45">
        <v>10161</v>
      </c>
    </row>
    <row r="46" spans="1:9">
      <c r="A46" s="5">
        <v>45488</v>
      </c>
      <c r="B46" t="s">
        <v>17</v>
      </c>
      <c r="C46">
        <v>1963</v>
      </c>
      <c r="D46">
        <v>137</v>
      </c>
      <c r="E46">
        <v>1369</v>
      </c>
      <c r="F46">
        <v>255684</v>
      </c>
      <c r="G46" s="7">
        <v>0.112083665774941</v>
      </c>
      <c r="H46" t="s">
        <v>37</v>
      </c>
      <c r="I46">
        <v>24537</v>
      </c>
    </row>
    <row r="47" spans="1:9">
      <c r="A47" s="5">
        <v>45495</v>
      </c>
      <c r="B47" t="s">
        <v>48</v>
      </c>
      <c r="C47">
        <v>8179</v>
      </c>
      <c r="D47">
        <v>446</v>
      </c>
      <c r="E47">
        <v>1367</v>
      </c>
      <c r="F47">
        <v>272227</v>
      </c>
      <c r="G47" s="7">
        <v>0.41821714965818968</v>
      </c>
      <c r="H47" t="s">
        <v>321</v>
      </c>
      <c r="I47">
        <v>43848</v>
      </c>
    </row>
    <row r="48" spans="1:9">
      <c r="A48" s="5">
        <v>45474</v>
      </c>
      <c r="B48" t="s">
        <v>23</v>
      </c>
      <c r="C48">
        <v>5917</v>
      </c>
      <c r="D48">
        <v>475</v>
      </c>
      <c r="E48">
        <v>1309</v>
      </c>
      <c r="F48">
        <v>210260</v>
      </c>
      <c r="G48" s="7">
        <v>0.17894035955483692</v>
      </c>
      <c r="H48" t="s">
        <v>37</v>
      </c>
      <c r="I48">
        <v>28313</v>
      </c>
    </row>
    <row r="49" spans="1:9">
      <c r="A49" s="5">
        <v>45509</v>
      </c>
      <c r="B49" t="s">
        <v>48</v>
      </c>
      <c r="C49">
        <v>3719</v>
      </c>
      <c r="D49">
        <v>222</v>
      </c>
      <c r="E49">
        <v>1290</v>
      </c>
      <c r="F49">
        <v>313014</v>
      </c>
      <c r="G49" s="7">
        <v>0.2166931830525152</v>
      </c>
      <c r="H49" t="s">
        <v>321</v>
      </c>
      <c r="I49">
        <v>13586</v>
      </c>
    </row>
    <row r="50" spans="1:9">
      <c r="A50" s="5">
        <v>45481</v>
      </c>
      <c r="B50" t="s">
        <v>23</v>
      </c>
      <c r="C50">
        <v>3529</v>
      </c>
      <c r="D50">
        <v>305</v>
      </c>
      <c r="E50">
        <v>1017</v>
      </c>
      <c r="F50">
        <v>243180</v>
      </c>
      <c r="G50" s="7">
        <v>0.41606628834608111</v>
      </c>
      <c r="H50" t="s">
        <v>37</v>
      </c>
      <c r="I50">
        <v>48356</v>
      </c>
    </row>
    <row r="51" spans="1:9">
      <c r="A51" s="5">
        <v>45530</v>
      </c>
      <c r="B51" t="s">
        <v>23</v>
      </c>
      <c r="C51">
        <v>1689</v>
      </c>
      <c r="D51">
        <v>176</v>
      </c>
      <c r="E51">
        <v>893</v>
      </c>
      <c r="F51">
        <v>371865</v>
      </c>
      <c r="G51" s="7">
        <v>0.38012181840183945</v>
      </c>
      <c r="H51" t="s">
        <v>321</v>
      </c>
      <c r="I51">
        <v>26029</v>
      </c>
    </row>
    <row r="52" spans="1:9">
      <c r="A52" s="5">
        <v>45530</v>
      </c>
      <c r="B52" t="s">
        <v>48</v>
      </c>
      <c r="C52">
        <v>6175</v>
      </c>
      <c r="D52">
        <v>422</v>
      </c>
      <c r="F52">
        <v>377618</v>
      </c>
      <c r="G52" s="7">
        <v>0.3786101298137271</v>
      </c>
      <c r="H52" t="s">
        <v>321</v>
      </c>
      <c r="I52">
        <v>59745</v>
      </c>
    </row>
    <row r="53" spans="1:9">
      <c r="A53" s="5">
        <v>45530</v>
      </c>
      <c r="B53" t="s">
        <v>28</v>
      </c>
      <c r="C53">
        <v>9648</v>
      </c>
      <c r="D53">
        <v>1417</v>
      </c>
      <c r="F53">
        <v>385849</v>
      </c>
      <c r="G53" s="7">
        <v>3.6633501706626166E-2</v>
      </c>
      <c r="H53" t="s">
        <v>321</v>
      </c>
      <c r="I53">
        <v>24226</v>
      </c>
    </row>
    <row r="54" spans="1:9">
      <c r="A54" s="5">
        <v>45530</v>
      </c>
      <c r="B54" t="s">
        <v>17</v>
      </c>
      <c r="C54">
        <v>6078</v>
      </c>
      <c r="D54">
        <v>775</v>
      </c>
      <c r="F54">
        <v>391152</v>
      </c>
      <c r="G54" s="7">
        <v>0.37760512537325641</v>
      </c>
      <c r="H54" t="s">
        <v>321</v>
      </c>
      <c r="I54">
        <v>38731</v>
      </c>
    </row>
    <row r="55" spans="1:9">
      <c r="A55" s="5">
        <v>45537</v>
      </c>
      <c r="B55" t="s">
        <v>28</v>
      </c>
      <c r="C55">
        <v>6448</v>
      </c>
      <c r="D55">
        <v>928</v>
      </c>
      <c r="F55">
        <v>396672</v>
      </c>
      <c r="G55" s="7">
        <v>0.3011858664085188</v>
      </c>
      <c r="H55" t="s">
        <v>321</v>
      </c>
      <c r="I55">
        <v>53922</v>
      </c>
    </row>
    <row r="56" spans="1:9">
      <c r="A56" s="5">
        <v>45537</v>
      </c>
      <c r="B56" t="s">
        <v>28</v>
      </c>
      <c r="C56">
        <v>2179</v>
      </c>
      <c r="D56">
        <v>303</v>
      </c>
      <c r="F56">
        <v>398548</v>
      </c>
      <c r="G56" s="7">
        <v>0.3390984272910666</v>
      </c>
      <c r="H56" t="s">
        <v>321</v>
      </c>
      <c r="I56">
        <v>54848</v>
      </c>
    </row>
    <row r="57" spans="1:9">
      <c r="A57" s="5">
        <v>45537</v>
      </c>
      <c r="B57" t="s">
        <v>48</v>
      </c>
      <c r="C57">
        <v>7406</v>
      </c>
      <c r="D57">
        <v>813</v>
      </c>
      <c r="F57">
        <v>405141</v>
      </c>
      <c r="G57" s="7">
        <v>0.2445741112353477</v>
      </c>
      <c r="H57" t="s">
        <v>321</v>
      </c>
      <c r="I57">
        <v>13390</v>
      </c>
    </row>
    <row r="58" spans="1:9">
      <c r="A58" s="5">
        <v>45537</v>
      </c>
      <c r="B58" t="s">
        <v>23</v>
      </c>
      <c r="C58">
        <v>9591</v>
      </c>
      <c r="D58">
        <v>1363</v>
      </c>
      <c r="F58">
        <v>413369</v>
      </c>
      <c r="G58" s="7">
        <v>0.1049425573760974</v>
      </c>
      <c r="H58" t="s">
        <v>321</v>
      </c>
      <c r="I58">
        <v>15997</v>
      </c>
    </row>
    <row r="59" spans="1:9">
      <c r="A59" s="5">
        <v>45544</v>
      </c>
      <c r="B59" t="s">
        <v>28</v>
      </c>
      <c r="C59">
        <v>7907</v>
      </c>
      <c r="D59">
        <v>465</v>
      </c>
      <c r="F59">
        <v>420811</v>
      </c>
      <c r="G59" s="7">
        <v>0.3325744811803874</v>
      </c>
      <c r="H59" t="s">
        <v>321</v>
      </c>
      <c r="I59">
        <v>22693</v>
      </c>
    </row>
    <row r="60" spans="1:9">
      <c r="A60" s="5">
        <v>45544</v>
      </c>
      <c r="B60" t="s">
        <v>17</v>
      </c>
      <c r="C60">
        <v>9800</v>
      </c>
      <c r="D60">
        <v>682</v>
      </c>
      <c r="F60">
        <v>429929</v>
      </c>
      <c r="G60" s="7">
        <v>6.2966210699906267E-2</v>
      </c>
      <c r="H60" t="s">
        <v>321</v>
      </c>
      <c r="I60">
        <v>59815</v>
      </c>
    </row>
    <row r="61" spans="1:9">
      <c r="A61" s="5">
        <v>45544</v>
      </c>
      <c r="B61" t="s">
        <v>17</v>
      </c>
      <c r="C61">
        <v>2638</v>
      </c>
      <c r="D61">
        <v>143</v>
      </c>
      <c r="F61">
        <v>432424</v>
      </c>
      <c r="G61" s="7">
        <v>6.9547481175882928E-2</v>
      </c>
      <c r="H61" t="s">
        <v>321</v>
      </c>
      <c r="I61">
        <v>52092</v>
      </c>
    </row>
    <row r="62" spans="1:9">
      <c r="A62" s="5">
        <v>45544</v>
      </c>
      <c r="B62" t="s">
        <v>23</v>
      </c>
      <c r="C62">
        <v>6671</v>
      </c>
      <c r="D62">
        <v>550</v>
      </c>
      <c r="F62">
        <v>438545</v>
      </c>
      <c r="G62" s="7">
        <v>0.17750287883797561</v>
      </c>
      <c r="H62" t="s">
        <v>321</v>
      </c>
      <c r="I62">
        <v>10541</v>
      </c>
    </row>
    <row r="63" spans="1:9">
      <c r="A63" s="5">
        <v>45551</v>
      </c>
      <c r="B63" t="s">
        <v>17</v>
      </c>
      <c r="C63">
        <v>7928</v>
      </c>
      <c r="D63">
        <v>704</v>
      </c>
      <c r="F63">
        <v>445769</v>
      </c>
      <c r="G63" s="7">
        <v>0.11194362999670228</v>
      </c>
      <c r="H63" t="s">
        <v>321</v>
      </c>
      <c r="I63">
        <v>31817</v>
      </c>
    </row>
    <row r="64" spans="1:9">
      <c r="A64" s="5">
        <v>45551</v>
      </c>
      <c r="B64" t="s">
        <v>23</v>
      </c>
      <c r="C64">
        <v>2382</v>
      </c>
      <c r="D64">
        <v>183</v>
      </c>
      <c r="F64">
        <v>447968</v>
      </c>
      <c r="G64" s="7">
        <v>4.7335970426459033E-2</v>
      </c>
      <c r="H64" t="s">
        <v>321</v>
      </c>
      <c r="I64">
        <v>47861</v>
      </c>
    </row>
    <row r="65" spans="1:9">
      <c r="A65" s="5">
        <v>45551</v>
      </c>
      <c r="B65" t="s">
        <v>17</v>
      </c>
      <c r="C65">
        <v>2403</v>
      </c>
      <c r="D65">
        <v>319</v>
      </c>
      <c r="F65">
        <v>450052</v>
      </c>
      <c r="G65" s="7">
        <v>0.29921209104725682</v>
      </c>
      <c r="H65" t="s">
        <v>321</v>
      </c>
      <c r="I65">
        <v>23428</v>
      </c>
    </row>
    <row r="66" spans="1:9">
      <c r="A66" s="5">
        <v>45551</v>
      </c>
      <c r="B66" t="s">
        <v>48</v>
      </c>
      <c r="C66">
        <v>4292</v>
      </c>
      <c r="D66">
        <v>367</v>
      </c>
      <c r="F66">
        <v>453977</v>
      </c>
      <c r="G66" s="7">
        <v>3.503701729382766E-2</v>
      </c>
      <c r="H66" t="s">
        <v>321</v>
      </c>
      <c r="I66">
        <v>53934</v>
      </c>
    </row>
    <row r="67" spans="1:9">
      <c r="A67" s="5">
        <v>45558</v>
      </c>
      <c r="B67" t="s">
        <v>28</v>
      </c>
      <c r="C67">
        <v>1419</v>
      </c>
      <c r="D67">
        <v>110</v>
      </c>
      <c r="F67">
        <v>455286</v>
      </c>
      <c r="G67" s="7">
        <v>0.31554451487636337</v>
      </c>
      <c r="H67" t="s">
        <v>321</v>
      </c>
      <c r="I67">
        <v>58831</v>
      </c>
    </row>
    <row r="68" spans="1:9">
      <c r="A68" s="5">
        <v>45558</v>
      </c>
      <c r="B68" t="s">
        <v>48</v>
      </c>
      <c r="C68">
        <v>5517</v>
      </c>
      <c r="D68">
        <v>575</v>
      </c>
      <c r="F68">
        <v>460228</v>
      </c>
      <c r="G68" s="7">
        <v>0.29458442337276308</v>
      </c>
      <c r="H68" t="s">
        <v>321</v>
      </c>
      <c r="I68">
        <v>20258</v>
      </c>
    </row>
    <row r="69" spans="1:9">
      <c r="A69" s="5">
        <v>45558</v>
      </c>
      <c r="B69" t="s">
        <v>28</v>
      </c>
      <c r="C69">
        <v>4302</v>
      </c>
      <c r="D69">
        <v>275</v>
      </c>
      <c r="F69">
        <v>464255</v>
      </c>
      <c r="G69" s="7">
        <v>0.1572131694865968</v>
      </c>
      <c r="H69" t="s">
        <v>321</v>
      </c>
      <c r="I69">
        <v>26044</v>
      </c>
    </row>
    <row r="70" spans="1:9">
      <c r="A70" s="5">
        <v>45558</v>
      </c>
      <c r="B70" t="s">
        <v>28</v>
      </c>
      <c r="C70">
        <v>8857</v>
      </c>
      <c r="D70">
        <v>1153</v>
      </c>
      <c r="F70">
        <v>471959</v>
      </c>
      <c r="G70" s="7">
        <v>0.1921459279301804</v>
      </c>
      <c r="H70" t="s">
        <v>321</v>
      </c>
      <c r="I70">
        <v>39411</v>
      </c>
    </row>
    <row r="71" spans="1:9">
      <c r="A71" s="5">
        <v>45565</v>
      </c>
      <c r="B71" t="s">
        <v>28</v>
      </c>
      <c r="C71">
        <v>8870</v>
      </c>
      <c r="D71">
        <v>509</v>
      </c>
      <c r="F71">
        <v>480320</v>
      </c>
      <c r="G71" s="7">
        <v>0.25077864756828783</v>
      </c>
      <c r="H71" t="s">
        <v>321</v>
      </c>
      <c r="I71">
        <v>15469</v>
      </c>
    </row>
    <row r="72" spans="1:9">
      <c r="A72" s="5">
        <v>45565</v>
      </c>
      <c r="B72" t="s">
        <v>48</v>
      </c>
      <c r="C72">
        <v>6693</v>
      </c>
      <c r="D72">
        <v>995</v>
      </c>
      <c r="F72">
        <v>486018</v>
      </c>
      <c r="G72" s="7">
        <v>0.2376187713212268</v>
      </c>
      <c r="H72" t="s">
        <v>321</v>
      </c>
      <c r="I72">
        <v>38854</v>
      </c>
    </row>
    <row r="73" spans="1:9">
      <c r="A73" s="5">
        <v>45565</v>
      </c>
      <c r="B73" t="s">
        <v>28</v>
      </c>
      <c r="C73">
        <v>1767</v>
      </c>
      <c r="D73">
        <v>224</v>
      </c>
      <c r="F73">
        <v>487561</v>
      </c>
      <c r="G73" s="7">
        <v>0.13208603641390507</v>
      </c>
      <c r="H73" t="s">
        <v>321</v>
      </c>
      <c r="I73">
        <v>16256</v>
      </c>
    </row>
    <row r="74" spans="1:9">
      <c r="A74" s="5">
        <v>45565</v>
      </c>
      <c r="B74" t="s">
        <v>48</v>
      </c>
      <c r="C74">
        <v>3044</v>
      </c>
      <c r="D74">
        <v>212</v>
      </c>
      <c r="F74">
        <v>490393</v>
      </c>
      <c r="G74" s="7">
        <v>8.5343795690395269E-2</v>
      </c>
      <c r="H74" t="s">
        <v>321</v>
      </c>
      <c r="I74">
        <v>20720</v>
      </c>
    </row>
    <row r="75" spans="1:9">
      <c r="A75" s="5">
        <v>45572</v>
      </c>
      <c r="B75" t="s">
        <v>23</v>
      </c>
      <c r="C75">
        <v>2549</v>
      </c>
      <c r="D75">
        <v>128</v>
      </c>
      <c r="F75">
        <v>492814</v>
      </c>
      <c r="G75" s="7">
        <v>0.1273421615457353</v>
      </c>
      <c r="H75" t="s">
        <v>53</v>
      </c>
      <c r="I75">
        <v>43937</v>
      </c>
    </row>
    <row r="76" spans="1:9">
      <c r="A76" s="5">
        <v>45572</v>
      </c>
      <c r="B76" t="s">
        <v>17</v>
      </c>
      <c r="C76">
        <v>7140</v>
      </c>
      <c r="D76">
        <v>939</v>
      </c>
      <c r="F76">
        <v>499015</v>
      </c>
      <c r="G76" s="7">
        <v>0.25120888149654819</v>
      </c>
      <c r="H76" t="s">
        <v>53</v>
      </c>
      <c r="I76">
        <v>43598</v>
      </c>
    </row>
    <row r="77" spans="1:9">
      <c r="A77" s="5">
        <v>45572</v>
      </c>
      <c r="B77" t="s">
        <v>17</v>
      </c>
      <c r="C77">
        <v>4716</v>
      </c>
      <c r="D77">
        <v>569</v>
      </c>
      <c r="F77">
        <v>503162</v>
      </c>
      <c r="G77" s="7">
        <v>0.25648200778278168</v>
      </c>
      <c r="H77" t="s">
        <v>53</v>
      </c>
      <c r="I77">
        <v>11651</v>
      </c>
    </row>
    <row r="78" spans="1:9">
      <c r="A78" s="5">
        <v>45572</v>
      </c>
      <c r="B78" t="s">
        <v>28</v>
      </c>
      <c r="C78">
        <v>5481</v>
      </c>
      <c r="D78">
        <v>673</v>
      </c>
      <c r="F78">
        <v>507970</v>
      </c>
      <c r="G78" s="7">
        <v>0.13087583912435771</v>
      </c>
      <c r="H78" t="s">
        <v>53</v>
      </c>
      <c r="I78">
        <v>29194</v>
      </c>
    </row>
    <row r="79" spans="1:9">
      <c r="A79" s="5">
        <v>45579</v>
      </c>
      <c r="B79" t="s">
        <v>48</v>
      </c>
      <c r="C79">
        <v>8898</v>
      </c>
      <c r="D79">
        <v>1131</v>
      </c>
      <c r="F79">
        <v>515737</v>
      </c>
      <c r="G79" s="7">
        <v>2.1877429775253671E-2</v>
      </c>
      <c r="H79" t="s">
        <v>53</v>
      </c>
      <c r="I79">
        <v>35051</v>
      </c>
    </row>
    <row r="80" spans="1:9">
      <c r="A80" s="5">
        <v>45579</v>
      </c>
      <c r="B80" t="s">
        <v>17</v>
      </c>
      <c r="C80">
        <v>7548</v>
      </c>
      <c r="D80">
        <v>433</v>
      </c>
      <c r="F80">
        <v>522852</v>
      </c>
      <c r="G80" s="7">
        <v>8.3562843787534521E-2</v>
      </c>
      <c r="H80" t="s">
        <v>53</v>
      </c>
      <c r="I80">
        <v>37386</v>
      </c>
    </row>
    <row r="81" spans="1:9">
      <c r="A81" s="5">
        <v>45579</v>
      </c>
      <c r="B81" t="s">
        <v>48</v>
      </c>
      <c r="C81">
        <v>3293</v>
      </c>
      <c r="D81">
        <v>282</v>
      </c>
      <c r="F81">
        <v>525863</v>
      </c>
      <c r="G81" s="7">
        <v>0.2704069310828105</v>
      </c>
      <c r="H81" t="s">
        <v>53</v>
      </c>
      <c r="I81">
        <v>19518</v>
      </c>
    </row>
    <row r="82" spans="1:9">
      <c r="A82" s="5">
        <v>45579</v>
      </c>
      <c r="B82" t="s">
        <v>48</v>
      </c>
      <c r="C82">
        <v>5837</v>
      </c>
      <c r="D82">
        <v>359</v>
      </c>
      <c r="F82">
        <v>531341</v>
      </c>
      <c r="G82" s="7">
        <v>6.8073045370110719E-2</v>
      </c>
      <c r="H82" t="s">
        <v>53</v>
      </c>
      <c r="I82">
        <v>56026</v>
      </c>
    </row>
    <row r="83" spans="1:9">
      <c r="A83" s="5">
        <v>45586</v>
      </c>
      <c r="B83" t="s">
        <v>28</v>
      </c>
      <c r="C83">
        <v>8758</v>
      </c>
      <c r="D83">
        <v>1193</v>
      </c>
      <c r="F83">
        <v>538906</v>
      </c>
      <c r="G83" s="7">
        <v>3.4213758985797149E-2</v>
      </c>
      <c r="H83" t="s">
        <v>53</v>
      </c>
      <c r="I83">
        <v>26184</v>
      </c>
    </row>
    <row r="84" spans="1:9">
      <c r="A84" s="5">
        <v>45586</v>
      </c>
      <c r="B84" t="s">
        <v>17</v>
      </c>
      <c r="C84">
        <v>7793</v>
      </c>
      <c r="D84">
        <v>875</v>
      </c>
      <c r="F84">
        <v>545824</v>
      </c>
      <c r="G84" s="7">
        <v>5.5136820660139529E-2</v>
      </c>
      <c r="H84" t="s">
        <v>53</v>
      </c>
      <c r="I84">
        <v>43787</v>
      </c>
    </row>
    <row r="85" spans="1:9">
      <c r="A85" s="5">
        <v>45586</v>
      </c>
      <c r="B85" t="s">
        <v>28</v>
      </c>
      <c r="C85">
        <v>8638</v>
      </c>
      <c r="D85">
        <v>717</v>
      </c>
      <c r="F85">
        <v>553745</v>
      </c>
      <c r="G85" s="7">
        <v>0.26921416897669498</v>
      </c>
      <c r="H85" t="s">
        <v>53</v>
      </c>
      <c r="I85">
        <v>31621</v>
      </c>
    </row>
    <row r="86" spans="1:9">
      <c r="A86" s="5">
        <v>45586</v>
      </c>
      <c r="B86" t="s">
        <v>28</v>
      </c>
      <c r="C86">
        <v>8993</v>
      </c>
      <c r="D86">
        <v>506</v>
      </c>
      <c r="F86">
        <v>562232</v>
      </c>
      <c r="G86" s="7">
        <v>3.5131404829323136E-2</v>
      </c>
      <c r="H86" t="s">
        <v>53</v>
      </c>
      <c r="I86">
        <v>20028</v>
      </c>
    </row>
    <row r="87" spans="1:9">
      <c r="A87" s="5">
        <v>45593</v>
      </c>
      <c r="B87" t="s">
        <v>17</v>
      </c>
      <c r="C87">
        <v>7007</v>
      </c>
      <c r="D87">
        <v>568</v>
      </c>
      <c r="F87">
        <v>568671</v>
      </c>
      <c r="G87" s="7">
        <v>0.1150507059442103</v>
      </c>
      <c r="H87" t="s">
        <v>53</v>
      </c>
      <c r="I87">
        <v>22448</v>
      </c>
    </row>
    <row r="88" spans="1:9">
      <c r="A88" s="5">
        <v>45593</v>
      </c>
      <c r="B88" t="s">
        <v>17</v>
      </c>
      <c r="C88">
        <v>6542</v>
      </c>
      <c r="D88">
        <v>539</v>
      </c>
      <c r="F88">
        <v>574674</v>
      </c>
      <c r="G88" s="7">
        <v>6.4069368024305948E-2</v>
      </c>
      <c r="H88" t="s">
        <v>53</v>
      </c>
      <c r="I88">
        <v>55253</v>
      </c>
    </row>
    <row r="89" spans="1:9">
      <c r="A89" s="5">
        <v>45593</v>
      </c>
      <c r="B89" t="s">
        <v>23</v>
      </c>
      <c r="C89">
        <v>7356</v>
      </c>
      <c r="D89">
        <v>904</v>
      </c>
      <c r="F89">
        <v>581126</v>
      </c>
      <c r="G89" s="7">
        <v>0.1756090761728093</v>
      </c>
      <c r="H89" t="s">
        <v>53</v>
      </c>
      <c r="I89">
        <v>44051</v>
      </c>
    </row>
    <row r="90" spans="1:9">
      <c r="A90" s="5">
        <v>45593</v>
      </c>
      <c r="B90" t="s">
        <v>23</v>
      </c>
      <c r="C90">
        <v>9433</v>
      </c>
      <c r="D90">
        <v>1073</v>
      </c>
      <c r="F90">
        <v>589486</v>
      </c>
      <c r="G90" s="7">
        <v>7.2934726185185053E-2</v>
      </c>
      <c r="H90" t="s">
        <v>53</v>
      </c>
      <c r="I90">
        <v>59811</v>
      </c>
    </row>
    <row r="91" spans="1:9">
      <c r="A91" s="5">
        <v>45600</v>
      </c>
      <c r="B91" t="s">
        <v>48</v>
      </c>
      <c r="C91">
        <v>8380</v>
      </c>
      <c r="D91">
        <v>1162</v>
      </c>
      <c r="F91">
        <v>596704</v>
      </c>
      <c r="G91" s="7">
        <v>0.18058534884968089</v>
      </c>
      <c r="H91" t="s">
        <v>321</v>
      </c>
      <c r="I91">
        <v>40447</v>
      </c>
    </row>
    <row r="92" spans="1:9">
      <c r="A92" s="5">
        <v>45600</v>
      </c>
      <c r="B92" t="s">
        <v>17</v>
      </c>
      <c r="C92">
        <v>3385</v>
      </c>
      <c r="D92">
        <v>329</v>
      </c>
      <c r="F92">
        <v>599760</v>
      </c>
      <c r="G92" s="7">
        <v>0.17617880485527551</v>
      </c>
      <c r="H92" t="s">
        <v>321</v>
      </c>
      <c r="I92">
        <v>28394</v>
      </c>
    </row>
    <row r="93" spans="1:9">
      <c r="A93" s="5">
        <v>45600</v>
      </c>
      <c r="B93" t="s">
        <v>23</v>
      </c>
      <c r="C93">
        <v>5268</v>
      </c>
      <c r="D93">
        <v>326</v>
      </c>
      <c r="F93">
        <v>604702</v>
      </c>
      <c r="G93" s="7">
        <v>0.2343584112505003</v>
      </c>
      <c r="H93" t="s">
        <v>321</v>
      </c>
      <c r="I93">
        <v>44501</v>
      </c>
    </row>
    <row r="94" spans="1:9">
      <c r="A94" s="5">
        <v>45600</v>
      </c>
      <c r="B94" t="s">
        <v>48</v>
      </c>
      <c r="C94">
        <v>1671</v>
      </c>
      <c r="D94">
        <v>202</v>
      </c>
      <c r="F94">
        <v>606171</v>
      </c>
      <c r="G94" s="7">
        <v>0.15150015424690388</v>
      </c>
      <c r="H94" t="s">
        <v>321</v>
      </c>
      <c r="I94">
        <v>40254</v>
      </c>
    </row>
    <row r="95" spans="1:9">
      <c r="A95" s="5">
        <v>45607</v>
      </c>
      <c r="B95" t="s">
        <v>48</v>
      </c>
      <c r="C95">
        <v>1163</v>
      </c>
      <c r="D95">
        <v>146</v>
      </c>
      <c r="F95">
        <v>607188</v>
      </c>
      <c r="G95" s="7">
        <v>0.2177776899411715</v>
      </c>
      <c r="H95" t="s">
        <v>321</v>
      </c>
      <c r="I95">
        <v>28509</v>
      </c>
    </row>
    <row r="96" spans="1:9">
      <c r="A96" s="5">
        <v>45607</v>
      </c>
      <c r="B96" t="s">
        <v>48</v>
      </c>
      <c r="C96">
        <v>9656</v>
      </c>
      <c r="D96">
        <v>1024</v>
      </c>
      <c r="F96">
        <v>615820</v>
      </c>
      <c r="G96" s="7">
        <v>8.7252768666168684E-2</v>
      </c>
      <c r="H96" t="s">
        <v>321</v>
      </c>
      <c r="I96">
        <v>58998</v>
      </c>
    </row>
    <row r="97" spans="1:9">
      <c r="A97" s="5">
        <v>45607</v>
      </c>
      <c r="B97" t="s">
        <v>23</v>
      </c>
      <c r="C97">
        <v>5592</v>
      </c>
      <c r="D97">
        <v>710</v>
      </c>
      <c r="F97">
        <v>620702</v>
      </c>
      <c r="G97" s="7">
        <v>9.0711806954061697E-2</v>
      </c>
      <c r="H97" t="s">
        <v>321</v>
      </c>
      <c r="I97">
        <v>24472</v>
      </c>
    </row>
    <row r="98" spans="1:9">
      <c r="A98" s="5">
        <v>45607</v>
      </c>
      <c r="B98" t="s">
        <v>17</v>
      </c>
      <c r="C98">
        <v>5795</v>
      </c>
      <c r="D98">
        <v>575</v>
      </c>
      <c r="F98">
        <v>625922</v>
      </c>
      <c r="G98" s="7">
        <v>3.0908004511744271E-2</v>
      </c>
      <c r="H98" t="s">
        <v>321</v>
      </c>
      <c r="I98">
        <v>55657</v>
      </c>
    </row>
    <row r="99" spans="1:9">
      <c r="A99" s="5">
        <v>45614</v>
      </c>
      <c r="B99" t="s">
        <v>28</v>
      </c>
      <c r="C99">
        <v>5798</v>
      </c>
      <c r="D99">
        <v>592</v>
      </c>
      <c r="F99">
        <v>631128</v>
      </c>
      <c r="G99" s="7">
        <v>1.6774727155188813E-2</v>
      </c>
      <c r="H99" t="s">
        <v>321</v>
      </c>
      <c r="I99">
        <v>13471</v>
      </c>
    </row>
    <row r="100" spans="1:9">
      <c r="A100" s="5">
        <v>45614</v>
      </c>
      <c r="B100" t="s">
        <v>48</v>
      </c>
      <c r="C100">
        <v>7036</v>
      </c>
      <c r="D100">
        <v>652</v>
      </c>
      <c r="F100">
        <v>637512</v>
      </c>
      <c r="G100" s="7">
        <v>3.5705994553828009E-2</v>
      </c>
      <c r="H100" t="s">
        <v>321</v>
      </c>
      <c r="I100">
        <v>51796</v>
      </c>
    </row>
    <row r="101" spans="1:9">
      <c r="A101" s="5">
        <v>45614</v>
      </c>
      <c r="B101" t="s">
        <v>23</v>
      </c>
      <c r="C101">
        <v>3355</v>
      </c>
      <c r="D101">
        <v>176</v>
      </c>
      <c r="F101">
        <v>640691</v>
      </c>
      <c r="G101" s="7">
        <v>0.12426427091999112</v>
      </c>
      <c r="H101" t="s">
        <v>321</v>
      </c>
      <c r="I101">
        <v>40268</v>
      </c>
    </row>
    <row r="102" spans="1:9">
      <c r="A102" s="5">
        <v>45614</v>
      </c>
      <c r="B102" t="s">
        <v>23</v>
      </c>
      <c r="C102">
        <v>6887</v>
      </c>
      <c r="D102">
        <v>418</v>
      </c>
      <c r="F102">
        <v>647160</v>
      </c>
      <c r="G102" s="7">
        <v>0.20240280610668152</v>
      </c>
      <c r="H102" t="s">
        <v>321</v>
      </c>
      <c r="I102">
        <v>18329</v>
      </c>
    </row>
    <row r="103" spans="1:9">
      <c r="A103" s="5">
        <v>45621</v>
      </c>
      <c r="B103" t="s">
        <v>28</v>
      </c>
      <c r="C103">
        <v>8961</v>
      </c>
      <c r="D103">
        <v>476</v>
      </c>
      <c r="F103">
        <v>655645</v>
      </c>
      <c r="G103" s="7">
        <v>0.15458517947974901</v>
      </c>
      <c r="H103" t="s">
        <v>321</v>
      </c>
      <c r="I103">
        <v>44865</v>
      </c>
    </row>
    <row r="104" spans="1:9">
      <c r="A104" s="5">
        <v>45621</v>
      </c>
      <c r="B104" t="s">
        <v>28</v>
      </c>
      <c r="C104">
        <v>6827</v>
      </c>
      <c r="D104">
        <v>775</v>
      </c>
      <c r="F104">
        <v>661697</v>
      </c>
      <c r="G104" s="7">
        <v>0.15966220188394387</v>
      </c>
      <c r="H104" t="s">
        <v>321</v>
      </c>
      <c r="I104">
        <v>56850</v>
      </c>
    </row>
    <row r="105" spans="1:9">
      <c r="A105" s="5">
        <v>45621</v>
      </c>
      <c r="B105" t="s">
        <v>23</v>
      </c>
      <c r="C105">
        <v>9737</v>
      </c>
      <c r="D105">
        <v>792</v>
      </c>
      <c r="F105">
        <v>670642</v>
      </c>
      <c r="G105" s="7">
        <v>5.301785453341723E-2</v>
      </c>
      <c r="H105" t="s">
        <v>321</v>
      </c>
      <c r="I105">
        <v>56698</v>
      </c>
    </row>
    <row r="106" spans="1:9">
      <c r="A106" s="5">
        <v>45621</v>
      </c>
      <c r="B106" t="s">
        <v>17</v>
      </c>
      <c r="C106">
        <v>5719</v>
      </c>
      <c r="D106">
        <v>576</v>
      </c>
      <c r="F106">
        <v>675785</v>
      </c>
      <c r="G106" s="7">
        <v>0.1021656296011305</v>
      </c>
      <c r="H106" t="s">
        <v>321</v>
      </c>
      <c r="I106">
        <v>38272</v>
      </c>
    </row>
    <row r="107" spans="1:9">
      <c r="A107" s="5">
        <v>45628</v>
      </c>
      <c r="B107" t="s">
        <v>28</v>
      </c>
      <c r="C107">
        <v>1593</v>
      </c>
      <c r="D107">
        <v>224</v>
      </c>
      <c r="F107">
        <v>677154</v>
      </c>
      <c r="G107" s="7">
        <v>4.1495730660972251E-2</v>
      </c>
      <c r="H107" t="s">
        <v>321</v>
      </c>
      <c r="I107">
        <v>52845</v>
      </c>
    </row>
    <row r="108" spans="1:9">
      <c r="A108" s="5">
        <v>45628</v>
      </c>
      <c r="B108" t="s">
        <v>23</v>
      </c>
      <c r="C108">
        <v>5839</v>
      </c>
      <c r="D108">
        <v>437</v>
      </c>
      <c r="F108">
        <v>682556</v>
      </c>
      <c r="G108" s="7">
        <v>0.1744750613869045</v>
      </c>
      <c r="H108" t="s">
        <v>321</v>
      </c>
      <c r="I108">
        <v>16397</v>
      </c>
    </row>
    <row r="109" spans="1:9">
      <c r="A109" s="5">
        <v>45628</v>
      </c>
      <c r="B109" t="s">
        <v>28</v>
      </c>
      <c r="C109">
        <v>8394</v>
      </c>
      <c r="D109">
        <v>764</v>
      </c>
      <c r="F109">
        <v>690186</v>
      </c>
      <c r="G109" s="7">
        <v>6.355678034616756E-2</v>
      </c>
      <c r="H109" t="s">
        <v>321</v>
      </c>
      <c r="I109">
        <v>42373</v>
      </c>
    </row>
    <row r="110" spans="1:9">
      <c r="A110" s="5">
        <v>45628</v>
      </c>
      <c r="B110" t="s">
        <v>17</v>
      </c>
      <c r="C110">
        <v>4493</v>
      </c>
      <c r="D110">
        <v>564</v>
      </c>
      <c r="F110">
        <v>694115</v>
      </c>
      <c r="G110" s="7">
        <v>0.1662548713109499</v>
      </c>
      <c r="H110" t="s">
        <v>321</v>
      </c>
      <c r="I110">
        <v>45525</v>
      </c>
    </row>
    <row r="111" spans="1:9">
      <c r="A111" s="5">
        <v>45635</v>
      </c>
      <c r="B111" t="s">
        <v>48</v>
      </c>
      <c r="C111">
        <v>7164</v>
      </c>
      <c r="D111">
        <v>522</v>
      </c>
      <c r="F111">
        <v>700757</v>
      </c>
      <c r="G111" s="7">
        <v>0.13449169969047761</v>
      </c>
      <c r="H111" t="s">
        <v>321</v>
      </c>
      <c r="I111">
        <v>34570</v>
      </c>
    </row>
    <row r="112" spans="1:9">
      <c r="A112" s="5">
        <v>45635</v>
      </c>
      <c r="B112" t="s">
        <v>28</v>
      </c>
      <c r="C112">
        <v>3672</v>
      </c>
      <c r="D112">
        <v>211</v>
      </c>
      <c r="F112">
        <v>704218</v>
      </c>
      <c r="G112" s="7">
        <v>0.12350578940044132</v>
      </c>
      <c r="H112" t="s">
        <v>321</v>
      </c>
      <c r="I112">
        <v>28284</v>
      </c>
    </row>
    <row r="113" spans="1:9">
      <c r="A113" s="5">
        <v>45635</v>
      </c>
      <c r="B113" t="s">
        <v>17</v>
      </c>
      <c r="C113">
        <v>5200</v>
      </c>
      <c r="D113">
        <v>410</v>
      </c>
      <c r="F113">
        <v>709008</v>
      </c>
      <c r="G113" s="7">
        <v>0.12913394489201821</v>
      </c>
      <c r="H113" t="s">
        <v>321</v>
      </c>
      <c r="I113">
        <v>28994</v>
      </c>
    </row>
    <row r="114" spans="1:9">
      <c r="A114" s="5">
        <v>45635</v>
      </c>
      <c r="B114" t="s">
        <v>23</v>
      </c>
      <c r="C114">
        <v>1016</v>
      </c>
      <c r="D114">
        <v>67</v>
      </c>
      <c r="F114">
        <v>709957</v>
      </c>
      <c r="G114" s="7">
        <v>0.20774215903216672</v>
      </c>
      <c r="H114" t="s">
        <v>321</v>
      </c>
      <c r="I114">
        <v>33284</v>
      </c>
    </row>
    <row r="115" spans="1:9">
      <c r="A115" s="5">
        <v>45642</v>
      </c>
      <c r="B115" t="s">
        <v>28</v>
      </c>
      <c r="C115">
        <v>4191</v>
      </c>
      <c r="D115">
        <v>599</v>
      </c>
      <c r="F115">
        <v>713549</v>
      </c>
      <c r="G115" s="7">
        <v>0.11564167282134788</v>
      </c>
      <c r="H115" t="s">
        <v>321</v>
      </c>
      <c r="I115">
        <v>27833</v>
      </c>
    </row>
    <row r="116" spans="1:9">
      <c r="A116" s="5">
        <v>45642</v>
      </c>
      <c r="B116" t="s">
        <v>28</v>
      </c>
      <c r="C116">
        <v>1392</v>
      </c>
      <c r="D116">
        <v>182</v>
      </c>
      <c r="F116">
        <v>714759</v>
      </c>
      <c r="G116" s="7">
        <v>5.9603306848881939E-2</v>
      </c>
      <c r="H116" t="s">
        <v>321</v>
      </c>
      <c r="I116">
        <v>35122</v>
      </c>
    </row>
    <row r="117" spans="1:9">
      <c r="A117" s="5">
        <v>45642</v>
      </c>
      <c r="B117" t="s">
        <v>23</v>
      </c>
      <c r="C117">
        <v>9616</v>
      </c>
      <c r="D117">
        <v>1089</v>
      </c>
      <c r="F117">
        <v>723286</v>
      </c>
      <c r="G117" s="7">
        <v>0.19258633514266829</v>
      </c>
      <c r="H117" t="s">
        <v>321</v>
      </c>
      <c r="I117">
        <v>15017</v>
      </c>
    </row>
    <row r="118" spans="1:9">
      <c r="A118" s="5">
        <v>45642</v>
      </c>
      <c r="B118" t="s">
        <v>48</v>
      </c>
      <c r="C118">
        <v>7272</v>
      </c>
      <c r="D118">
        <v>997</v>
      </c>
      <c r="F118">
        <v>729561</v>
      </c>
      <c r="G118" s="7">
        <v>0.13428486445958598</v>
      </c>
      <c r="H118" t="s">
        <v>321</v>
      </c>
      <c r="I118">
        <v>26370</v>
      </c>
    </row>
    <row r="119" spans="1:9">
      <c r="A119" s="5">
        <v>45649</v>
      </c>
      <c r="B119" t="s">
        <v>23</v>
      </c>
      <c r="C119">
        <v>1571</v>
      </c>
      <c r="D119">
        <v>204</v>
      </c>
      <c r="F119">
        <v>730928</v>
      </c>
      <c r="G119" s="7">
        <v>0.1944938489153514</v>
      </c>
      <c r="H119" t="s">
        <v>321</v>
      </c>
      <c r="I119">
        <v>39252</v>
      </c>
    </row>
    <row r="120" spans="1:9">
      <c r="A120" s="5">
        <v>45649</v>
      </c>
      <c r="B120" t="s">
        <v>28</v>
      </c>
      <c r="C120">
        <v>4631</v>
      </c>
      <c r="D120">
        <v>317</v>
      </c>
      <c r="F120">
        <v>735242</v>
      </c>
      <c r="G120" s="7">
        <v>1.381177897889402E-2</v>
      </c>
      <c r="H120" t="s">
        <v>321</v>
      </c>
      <c r="I120">
        <v>17999</v>
      </c>
    </row>
    <row r="121" spans="1:9">
      <c r="A121" s="5">
        <v>45649</v>
      </c>
      <c r="B121" t="s">
        <v>23</v>
      </c>
      <c r="C121">
        <v>7172</v>
      </c>
      <c r="D121">
        <v>998</v>
      </c>
      <c r="F121">
        <v>741416</v>
      </c>
      <c r="G121" s="7">
        <v>0.18066780323057505</v>
      </c>
      <c r="H121" t="s">
        <v>321</v>
      </c>
      <c r="I121">
        <v>32436</v>
      </c>
    </row>
    <row r="122" spans="1:9">
      <c r="A122" s="5">
        <v>45649</v>
      </c>
      <c r="B122" t="s">
        <v>17</v>
      </c>
      <c r="C122">
        <v>8177</v>
      </c>
      <c r="D122">
        <v>849</v>
      </c>
      <c r="F122">
        <v>748744</v>
      </c>
      <c r="G122" s="7">
        <v>0.10349865908775233</v>
      </c>
      <c r="H122" t="s">
        <v>321</v>
      </c>
      <c r="I122">
        <v>52963</v>
      </c>
    </row>
    <row r="123" spans="1:9">
      <c r="A123" s="5">
        <v>45656</v>
      </c>
      <c r="B123" t="s">
        <v>23</v>
      </c>
      <c r="C123">
        <v>9433</v>
      </c>
      <c r="D123">
        <v>1233</v>
      </c>
      <c r="F123">
        <v>756944</v>
      </c>
      <c r="G123" s="7">
        <v>0.1139172778963833</v>
      </c>
      <c r="H123" t="s">
        <v>21</v>
      </c>
      <c r="I123">
        <v>12096</v>
      </c>
    </row>
    <row r="124" spans="1:9">
      <c r="A124" s="5">
        <v>45656</v>
      </c>
      <c r="B124" t="s">
        <v>28</v>
      </c>
      <c r="C124">
        <v>4897</v>
      </c>
      <c r="D124">
        <v>683</v>
      </c>
      <c r="F124">
        <v>761158</v>
      </c>
      <c r="G124" s="7">
        <v>0.15062312949479612</v>
      </c>
      <c r="H124" t="s">
        <v>21</v>
      </c>
      <c r="I124">
        <v>58201</v>
      </c>
    </row>
    <row r="125" spans="1:9">
      <c r="A125" s="5">
        <v>45656</v>
      </c>
      <c r="B125" t="s">
        <v>23</v>
      </c>
      <c r="C125">
        <v>9123</v>
      </c>
      <c r="D125">
        <v>746</v>
      </c>
      <c r="F125">
        <v>769535</v>
      </c>
      <c r="G125" s="7">
        <v>6.3086149427901264E-2</v>
      </c>
      <c r="H125" t="s">
        <v>21</v>
      </c>
      <c r="I125">
        <v>35279</v>
      </c>
    </row>
    <row r="126" spans="1:9">
      <c r="A126" s="5">
        <v>45656</v>
      </c>
      <c r="B126" t="s">
        <v>48</v>
      </c>
      <c r="C126">
        <v>3279</v>
      </c>
      <c r="D126">
        <v>200</v>
      </c>
      <c r="F126">
        <v>772614</v>
      </c>
      <c r="G126" s="7">
        <v>5.0212654702089278E-2</v>
      </c>
      <c r="H126" t="s">
        <v>21</v>
      </c>
      <c r="I126">
        <v>53363</v>
      </c>
    </row>
    <row r="127" spans="1:9">
      <c r="A127" s="5">
        <v>45663</v>
      </c>
      <c r="B127" t="s">
        <v>23</v>
      </c>
      <c r="C127">
        <v>9980</v>
      </c>
      <c r="D127">
        <v>726</v>
      </c>
      <c r="F127">
        <v>781868</v>
      </c>
      <c r="G127" s="7">
        <v>4.0220344099003928E-2</v>
      </c>
      <c r="H127" t="s">
        <v>21</v>
      </c>
      <c r="I127">
        <v>58709</v>
      </c>
    </row>
    <row r="128" spans="1:9">
      <c r="A128" s="5">
        <v>45663</v>
      </c>
      <c r="B128" t="s">
        <v>48</v>
      </c>
      <c r="C128">
        <v>8451</v>
      </c>
      <c r="D128">
        <v>783</v>
      </c>
      <c r="F128">
        <v>789536</v>
      </c>
      <c r="G128" s="7">
        <v>0.1240728731812102</v>
      </c>
      <c r="H128" t="s">
        <v>21</v>
      </c>
      <c r="I128">
        <v>36201</v>
      </c>
    </row>
    <row r="129" spans="1:9">
      <c r="A129" s="5">
        <v>45663</v>
      </c>
      <c r="B129" t="s">
        <v>17</v>
      </c>
      <c r="C129">
        <v>9906</v>
      </c>
      <c r="D129">
        <v>1305</v>
      </c>
      <c r="F129">
        <v>798137</v>
      </c>
      <c r="G129" s="7">
        <v>9.1811305577864447E-2</v>
      </c>
      <c r="H129" t="s">
        <v>21</v>
      </c>
      <c r="I129">
        <v>29715</v>
      </c>
    </row>
    <row r="130" spans="1:9">
      <c r="A130" s="5">
        <v>45663</v>
      </c>
      <c r="B130" t="s">
        <v>48</v>
      </c>
      <c r="C130">
        <v>1775</v>
      </c>
      <c r="D130">
        <v>241</v>
      </c>
      <c r="F130">
        <v>799671</v>
      </c>
      <c r="G130" s="7">
        <v>8.1379717408784358E-2</v>
      </c>
      <c r="H130" t="s">
        <v>21</v>
      </c>
      <c r="I130">
        <v>39309</v>
      </c>
    </row>
    <row r="131" spans="1:9">
      <c r="A131" s="5">
        <v>45670</v>
      </c>
      <c r="B131" t="s">
        <v>23</v>
      </c>
      <c r="C131">
        <v>7869</v>
      </c>
      <c r="D131">
        <v>398</v>
      </c>
      <c r="F131">
        <v>807142</v>
      </c>
      <c r="G131" s="7">
        <v>0.1521194535781808</v>
      </c>
      <c r="H131" t="s">
        <v>321</v>
      </c>
      <c r="I131">
        <v>25078</v>
      </c>
    </row>
    <row r="132" spans="1:9">
      <c r="A132" s="5">
        <v>45670</v>
      </c>
      <c r="B132" t="s">
        <v>28</v>
      </c>
      <c r="C132">
        <v>3247</v>
      </c>
      <c r="D132">
        <v>328</v>
      </c>
      <c r="F132">
        <v>810061</v>
      </c>
      <c r="G132" s="7">
        <v>0.139411723314664</v>
      </c>
      <c r="H132" t="s">
        <v>321</v>
      </c>
      <c r="I132">
        <v>15105</v>
      </c>
    </row>
    <row r="133" spans="1:9">
      <c r="A133" s="5">
        <v>45670</v>
      </c>
      <c r="B133" t="s">
        <v>48</v>
      </c>
      <c r="C133">
        <v>8088</v>
      </c>
      <c r="D133">
        <v>742</v>
      </c>
      <c r="F133">
        <v>817407</v>
      </c>
      <c r="G133" s="7">
        <v>0.146645428776607</v>
      </c>
      <c r="H133" t="s">
        <v>321</v>
      </c>
      <c r="I133">
        <v>39312</v>
      </c>
    </row>
    <row r="134" spans="1:9">
      <c r="A134" s="5">
        <v>45670</v>
      </c>
      <c r="B134" t="s">
        <v>17</v>
      </c>
      <c r="C134">
        <v>1078</v>
      </c>
      <c r="D134">
        <v>77</v>
      </c>
      <c r="F134">
        <v>818408</v>
      </c>
      <c r="G134" s="7">
        <v>0.18236747441373993</v>
      </c>
      <c r="H134" t="s">
        <v>321</v>
      </c>
      <c r="I134">
        <v>12839</v>
      </c>
    </row>
    <row r="135" spans="1:9">
      <c r="A135" s="5">
        <v>45677</v>
      </c>
      <c r="B135" t="s">
        <v>48</v>
      </c>
      <c r="C135">
        <v>9080</v>
      </c>
      <c r="D135">
        <v>562</v>
      </c>
      <c r="F135">
        <v>826926</v>
      </c>
      <c r="G135" s="7">
        <v>7.1083748727213805E-2</v>
      </c>
      <c r="H135" t="s">
        <v>321</v>
      </c>
      <c r="I135">
        <v>13384</v>
      </c>
    </row>
    <row r="136" spans="1:9">
      <c r="A136" s="5">
        <v>45677</v>
      </c>
      <c r="B136" t="s">
        <v>48</v>
      </c>
      <c r="C136">
        <v>8099</v>
      </c>
      <c r="D136">
        <v>678</v>
      </c>
      <c r="F136">
        <v>834347</v>
      </c>
      <c r="G136" s="7">
        <v>7.6464588474579515E-2</v>
      </c>
      <c r="H136" t="s">
        <v>321</v>
      </c>
      <c r="I136">
        <v>53619</v>
      </c>
    </row>
    <row r="137" spans="1:9">
      <c r="A137" s="5">
        <v>45677</v>
      </c>
      <c r="B137" t="s">
        <v>48</v>
      </c>
      <c r="C137">
        <v>4926</v>
      </c>
      <c r="D137">
        <v>710</v>
      </c>
      <c r="F137">
        <v>838563</v>
      </c>
      <c r="G137" s="7">
        <v>0.12962174577223182</v>
      </c>
      <c r="H137" t="s">
        <v>321</v>
      </c>
      <c r="I137">
        <v>52821</v>
      </c>
    </row>
    <row r="138" spans="1:9">
      <c r="A138" s="5">
        <v>45677</v>
      </c>
      <c r="B138" t="s">
        <v>17</v>
      </c>
      <c r="C138">
        <v>8340</v>
      </c>
      <c r="D138">
        <v>686</v>
      </c>
      <c r="F138">
        <v>846217</v>
      </c>
      <c r="G138" s="7">
        <v>7.2013443360272836E-2</v>
      </c>
      <c r="H138" t="s">
        <v>321</v>
      </c>
      <c r="I138">
        <v>23493</v>
      </c>
    </row>
    <row r="139" spans="1:9">
      <c r="A139" s="5">
        <v>45684</v>
      </c>
      <c r="B139" t="s">
        <v>23</v>
      </c>
      <c r="C139">
        <v>8083</v>
      </c>
      <c r="D139">
        <v>823</v>
      </c>
      <c r="F139">
        <v>853477</v>
      </c>
      <c r="G139" s="7">
        <v>4.6300017457998291E-2</v>
      </c>
      <c r="H139" t="s">
        <v>321</v>
      </c>
      <c r="I139">
        <v>27069</v>
      </c>
    </row>
    <row r="140" spans="1:9">
      <c r="A140" s="5">
        <v>45684</v>
      </c>
      <c r="B140" t="s">
        <v>48</v>
      </c>
      <c r="C140">
        <v>7230</v>
      </c>
      <c r="D140">
        <v>869</v>
      </c>
      <c r="F140">
        <v>859838</v>
      </c>
      <c r="G140" s="7">
        <v>7.0117859410726208E-2</v>
      </c>
      <c r="H140" t="s">
        <v>321</v>
      </c>
      <c r="I140">
        <v>56907</v>
      </c>
    </row>
    <row r="141" spans="1:9">
      <c r="A141" s="5">
        <v>45684</v>
      </c>
      <c r="B141" t="s">
        <v>48</v>
      </c>
      <c r="C141">
        <v>5940</v>
      </c>
      <c r="D141">
        <v>512</v>
      </c>
      <c r="F141">
        <v>865266</v>
      </c>
      <c r="G141" s="7">
        <v>0.157972230504839</v>
      </c>
      <c r="H141" t="s">
        <v>321</v>
      </c>
      <c r="I141">
        <v>17531</v>
      </c>
    </row>
    <row r="142" spans="1:9">
      <c r="A142" s="5">
        <v>45684</v>
      </c>
      <c r="B142" t="s">
        <v>28</v>
      </c>
      <c r="C142">
        <v>4271</v>
      </c>
      <c r="D142">
        <v>628</v>
      </c>
      <c r="F142">
        <v>868909</v>
      </c>
      <c r="G142" s="7">
        <v>0.11124410036033693</v>
      </c>
      <c r="H142" t="s">
        <v>321</v>
      </c>
      <c r="I142">
        <v>47051</v>
      </c>
    </row>
    <row r="143" spans="1:9">
      <c r="A143" s="5">
        <v>45691</v>
      </c>
      <c r="B143" t="s">
        <v>17</v>
      </c>
      <c r="C143">
        <v>4456</v>
      </c>
      <c r="D143">
        <v>651</v>
      </c>
      <c r="F143">
        <v>872714</v>
      </c>
      <c r="G143" s="7">
        <v>9.5052903929580601E-2</v>
      </c>
      <c r="H143" t="s">
        <v>321</v>
      </c>
      <c r="I143">
        <v>17736</v>
      </c>
    </row>
    <row r="144" spans="1:9">
      <c r="A144" s="5">
        <v>45691</v>
      </c>
      <c r="B144" t="s">
        <v>48</v>
      </c>
      <c r="C144">
        <v>8788</v>
      </c>
      <c r="D144">
        <v>660</v>
      </c>
      <c r="F144">
        <v>880842</v>
      </c>
      <c r="G144" s="7">
        <v>3.7175793161543159E-2</v>
      </c>
      <c r="H144" t="s">
        <v>321</v>
      </c>
      <c r="I144">
        <v>17710</v>
      </c>
    </row>
    <row r="145" spans="1:9">
      <c r="A145" s="5">
        <v>45691</v>
      </c>
      <c r="B145" t="s">
        <v>17</v>
      </c>
      <c r="C145">
        <v>9599</v>
      </c>
      <c r="D145">
        <v>957</v>
      </c>
      <c r="F145">
        <v>889484</v>
      </c>
      <c r="G145" s="7">
        <v>8.7680048207724931E-2</v>
      </c>
      <c r="H145" t="s">
        <v>321</v>
      </c>
      <c r="I145">
        <v>11619</v>
      </c>
    </row>
    <row r="146" spans="1:9">
      <c r="A146" s="5">
        <v>45691</v>
      </c>
      <c r="B146" t="s">
        <v>48</v>
      </c>
      <c r="C146">
        <v>8650</v>
      </c>
      <c r="D146">
        <v>692</v>
      </c>
      <c r="F146">
        <v>897442</v>
      </c>
      <c r="G146" s="7">
        <v>7.6673478620345376E-2</v>
      </c>
      <c r="H146" t="s">
        <v>321</v>
      </c>
      <c r="I146">
        <v>23975</v>
      </c>
    </row>
    <row r="147" spans="1:9">
      <c r="A147" s="5">
        <v>45698</v>
      </c>
      <c r="B147" t="s">
        <v>23</v>
      </c>
      <c r="C147">
        <v>3711</v>
      </c>
      <c r="D147">
        <v>291</v>
      </c>
      <c r="F147">
        <v>900862</v>
      </c>
      <c r="G147" s="7">
        <v>0.14248797263065821</v>
      </c>
      <c r="H147" t="s">
        <v>321</v>
      </c>
      <c r="I147">
        <v>55603</v>
      </c>
    </row>
    <row r="148" spans="1:9">
      <c r="A148" s="5">
        <v>45698</v>
      </c>
      <c r="B148" t="s">
        <v>23</v>
      </c>
      <c r="C148">
        <v>2668</v>
      </c>
      <c r="D148">
        <v>143</v>
      </c>
      <c r="F148">
        <v>903387</v>
      </c>
      <c r="G148" s="7">
        <v>0.15903372530266649</v>
      </c>
      <c r="H148" t="s">
        <v>321</v>
      </c>
      <c r="I148">
        <v>33252</v>
      </c>
    </row>
    <row r="149" spans="1:9">
      <c r="A149" s="5">
        <v>45698</v>
      </c>
      <c r="B149" t="s">
        <v>48</v>
      </c>
      <c r="C149">
        <v>1147</v>
      </c>
      <c r="D149">
        <v>127</v>
      </c>
      <c r="F149">
        <v>904407</v>
      </c>
      <c r="G149" s="7">
        <v>1.3997016829812241E-2</v>
      </c>
      <c r="H149" t="s">
        <v>321</v>
      </c>
      <c r="I149">
        <v>25261</v>
      </c>
    </row>
    <row r="150" spans="1:9">
      <c r="A150" s="5">
        <v>45698</v>
      </c>
      <c r="B150" t="s">
        <v>23</v>
      </c>
      <c r="C150">
        <v>7420</v>
      </c>
      <c r="D150">
        <v>743</v>
      </c>
      <c r="F150">
        <v>911084</v>
      </c>
      <c r="G150" s="7">
        <v>0.1059353473444819</v>
      </c>
      <c r="H150" t="s">
        <v>321</v>
      </c>
      <c r="I150">
        <v>11431</v>
      </c>
    </row>
    <row r="151" spans="1:9">
      <c r="A151" s="5">
        <v>45705</v>
      </c>
      <c r="B151" t="s">
        <v>48</v>
      </c>
      <c r="C151">
        <v>1365</v>
      </c>
      <c r="D151">
        <v>75</v>
      </c>
      <c r="F151">
        <v>912374</v>
      </c>
      <c r="G151" s="7">
        <v>9.2688963078737446E-2</v>
      </c>
      <c r="H151" t="s">
        <v>321</v>
      </c>
      <c r="I151">
        <v>19067</v>
      </c>
    </row>
    <row r="152" spans="1:9">
      <c r="A152" s="5">
        <v>45705</v>
      </c>
      <c r="B152" t="s">
        <v>23</v>
      </c>
      <c r="C152">
        <v>5531</v>
      </c>
      <c r="D152">
        <v>430</v>
      </c>
      <c r="F152">
        <v>917475</v>
      </c>
      <c r="G152" s="7">
        <v>2.728902694896319E-2</v>
      </c>
      <c r="H152" t="s">
        <v>321</v>
      </c>
      <c r="I152">
        <v>47481</v>
      </c>
    </row>
    <row r="153" spans="1:9">
      <c r="A153" s="5">
        <v>45705</v>
      </c>
      <c r="B153" t="s">
        <v>28</v>
      </c>
      <c r="C153">
        <v>6330</v>
      </c>
      <c r="D153">
        <v>891</v>
      </c>
      <c r="F153">
        <v>922914</v>
      </c>
      <c r="G153" s="7">
        <v>0.14789893749580141</v>
      </c>
      <c r="H153" t="s">
        <v>321</v>
      </c>
      <c r="I153">
        <v>37037</v>
      </c>
    </row>
    <row r="154" spans="1:9">
      <c r="A154" s="5">
        <v>45705</v>
      </c>
      <c r="B154" t="s">
        <v>28</v>
      </c>
      <c r="C154">
        <v>6510</v>
      </c>
      <c r="D154">
        <v>481</v>
      </c>
      <c r="F154">
        <v>928943</v>
      </c>
      <c r="G154" s="7">
        <v>2.3800168578696428E-2</v>
      </c>
      <c r="H154" t="s">
        <v>321</v>
      </c>
      <c r="I154">
        <v>19557</v>
      </c>
    </row>
    <row r="155" spans="1:9">
      <c r="A155" s="5">
        <v>45712</v>
      </c>
      <c r="B155" t="s">
        <v>28</v>
      </c>
      <c r="C155">
        <v>9754</v>
      </c>
      <c r="D155">
        <v>629</v>
      </c>
      <c r="F155">
        <v>938068</v>
      </c>
      <c r="G155" s="7">
        <v>3.4123325814333291E-2</v>
      </c>
      <c r="H155" t="s">
        <v>321</v>
      </c>
      <c r="I155">
        <v>19435</v>
      </c>
    </row>
    <row r="156" spans="1:9">
      <c r="A156" s="5">
        <v>45712</v>
      </c>
      <c r="B156" t="s">
        <v>17</v>
      </c>
      <c r="C156">
        <v>9964</v>
      </c>
      <c r="D156">
        <v>985</v>
      </c>
      <c r="F156">
        <v>947047</v>
      </c>
      <c r="G156" s="7">
        <v>1.9837452629066991E-2</v>
      </c>
      <c r="H156" t="s">
        <v>321</v>
      </c>
      <c r="I156">
        <v>47766</v>
      </c>
    </row>
    <row r="157" spans="1:9">
      <c r="A157" s="5">
        <v>45712</v>
      </c>
      <c r="B157" t="s">
        <v>17</v>
      </c>
      <c r="C157">
        <v>7493</v>
      </c>
      <c r="D157">
        <v>1113</v>
      </c>
      <c r="F157">
        <v>953427</v>
      </c>
      <c r="G157" s="7">
        <v>0.15684892498324471</v>
      </c>
      <c r="H157" t="s">
        <v>321</v>
      </c>
      <c r="I157">
        <v>10162</v>
      </c>
    </row>
    <row r="158" spans="1:9">
      <c r="A158" s="5">
        <v>45712</v>
      </c>
      <c r="B158" t="s">
        <v>28</v>
      </c>
      <c r="C158">
        <v>6439</v>
      </c>
      <c r="D158">
        <v>477</v>
      </c>
      <c r="F158">
        <v>959389</v>
      </c>
      <c r="G158" s="7">
        <v>7.474444672598915E-2</v>
      </c>
      <c r="H158" t="s">
        <v>321</v>
      </c>
      <c r="I158">
        <v>44742</v>
      </c>
    </row>
    <row r="159" spans="1:9">
      <c r="A159" s="5">
        <v>45719</v>
      </c>
      <c r="B159" t="s">
        <v>17</v>
      </c>
      <c r="C159">
        <v>7511</v>
      </c>
      <c r="D159">
        <v>880</v>
      </c>
      <c r="F159">
        <v>966020</v>
      </c>
      <c r="G159" s="7">
        <v>4.608393200968925E-2</v>
      </c>
      <c r="H159" t="s">
        <v>32</v>
      </c>
      <c r="I159">
        <v>29675</v>
      </c>
    </row>
    <row r="160" spans="1:9">
      <c r="A160" s="5">
        <v>45719</v>
      </c>
      <c r="B160" t="s">
        <v>23</v>
      </c>
      <c r="C160">
        <v>8504</v>
      </c>
      <c r="D160">
        <v>1072</v>
      </c>
      <c r="F160">
        <v>973452</v>
      </c>
      <c r="G160" s="7">
        <v>6.5651927367759266E-2</v>
      </c>
      <c r="H160" t="s">
        <v>32</v>
      </c>
      <c r="I160">
        <v>18461</v>
      </c>
    </row>
    <row r="161" spans="1:9">
      <c r="A161" s="5">
        <v>45719</v>
      </c>
      <c r="B161" t="s">
        <v>48</v>
      </c>
      <c r="C161">
        <v>2246</v>
      </c>
      <c r="D161">
        <v>165</v>
      </c>
      <c r="F161">
        <v>975533</v>
      </c>
      <c r="G161" s="7">
        <v>2.9062061457685192E-2</v>
      </c>
      <c r="H161" t="s">
        <v>32</v>
      </c>
      <c r="I161">
        <v>27015</v>
      </c>
    </row>
    <row r="162" spans="1:9">
      <c r="A162" s="5">
        <v>45719</v>
      </c>
      <c r="B162" t="s">
        <v>48</v>
      </c>
      <c r="C162">
        <v>4839</v>
      </c>
      <c r="D162">
        <v>594</v>
      </c>
      <c r="F162">
        <v>979778</v>
      </c>
      <c r="G162" s="7">
        <v>2.5803804535313103E-2</v>
      </c>
      <c r="H162" t="s">
        <v>32</v>
      </c>
      <c r="I162">
        <v>42591</v>
      </c>
    </row>
    <row r="163" spans="1:9">
      <c r="A163" s="5">
        <v>45726</v>
      </c>
      <c r="B163" t="s">
        <v>48</v>
      </c>
      <c r="C163">
        <v>9551</v>
      </c>
      <c r="D163">
        <v>828</v>
      </c>
      <c r="F163">
        <v>988501</v>
      </c>
      <c r="G163" s="7">
        <v>1.5250363934887268E-2</v>
      </c>
      <c r="H163" t="s">
        <v>32</v>
      </c>
      <c r="I163">
        <v>38047</v>
      </c>
    </row>
    <row r="164" spans="1:9">
      <c r="A164" s="5">
        <v>45726</v>
      </c>
      <c r="B164" t="s">
        <v>28</v>
      </c>
      <c r="C164">
        <v>3376</v>
      </c>
      <c r="D164">
        <v>382</v>
      </c>
      <c r="F164">
        <v>991495</v>
      </c>
      <c r="G164" s="7">
        <v>3.8694093263203555E-2</v>
      </c>
      <c r="H164" t="s">
        <v>32</v>
      </c>
      <c r="I164">
        <v>44782</v>
      </c>
    </row>
    <row r="165" spans="1:9">
      <c r="A165" s="5">
        <v>45726</v>
      </c>
      <c r="B165" t="s">
        <v>17</v>
      </c>
      <c r="C165">
        <v>4009</v>
      </c>
      <c r="D165">
        <v>454</v>
      </c>
      <c r="F165">
        <v>995050</v>
      </c>
      <c r="G165" s="7">
        <v>2.1106477061454201E-2</v>
      </c>
      <c r="H165" t="s">
        <v>32</v>
      </c>
      <c r="I165">
        <v>19833</v>
      </c>
    </row>
    <row r="166" spans="1:9">
      <c r="A166" s="5">
        <v>45726</v>
      </c>
      <c r="B166" t="s">
        <v>23</v>
      </c>
      <c r="C166">
        <v>2827</v>
      </c>
      <c r="D166">
        <v>292</v>
      </c>
      <c r="F166">
        <v>997585</v>
      </c>
      <c r="G166" s="7">
        <v>2.4004972007397873E-2</v>
      </c>
      <c r="H166" t="s">
        <v>32</v>
      </c>
      <c r="I166">
        <v>17896</v>
      </c>
    </row>
    <row r="167" spans="1:9">
      <c r="A167" s="5">
        <v>45733</v>
      </c>
      <c r="B167" t="s">
        <v>23</v>
      </c>
      <c r="C167">
        <v>7979</v>
      </c>
      <c r="D167">
        <v>470</v>
      </c>
      <c r="F167">
        <v>1005094</v>
      </c>
      <c r="G167" s="7">
        <v>0.10430865172809713</v>
      </c>
      <c r="H167" t="s">
        <v>32</v>
      </c>
      <c r="I167">
        <v>42972</v>
      </c>
    </row>
    <row r="168" spans="1:9">
      <c r="A168" s="5">
        <v>45733</v>
      </c>
      <c r="B168" t="s">
        <v>28</v>
      </c>
      <c r="C168">
        <v>9569</v>
      </c>
      <c r="D168">
        <v>1277</v>
      </c>
      <c r="F168">
        <v>1013386</v>
      </c>
      <c r="G168" s="7">
        <v>0.1245517502708741</v>
      </c>
      <c r="H168" t="s">
        <v>32</v>
      </c>
      <c r="I168">
        <v>59733</v>
      </c>
    </row>
    <row r="169" spans="1:9">
      <c r="A169" s="5">
        <v>45733</v>
      </c>
      <c r="B169" t="s">
        <v>23</v>
      </c>
      <c r="C169">
        <v>5285</v>
      </c>
      <c r="D169">
        <v>433</v>
      </c>
      <c r="F169">
        <v>1018238</v>
      </c>
      <c r="G169" s="7">
        <v>8.7022876773406629E-2</v>
      </c>
      <c r="H169" t="s">
        <v>32</v>
      </c>
      <c r="I169">
        <v>51800</v>
      </c>
    </row>
    <row r="170" spans="1:9">
      <c r="A170" s="5">
        <v>45733</v>
      </c>
      <c r="B170" t="s">
        <v>23</v>
      </c>
      <c r="C170">
        <v>7910</v>
      </c>
      <c r="D170">
        <v>543</v>
      </c>
      <c r="F170">
        <v>1025605</v>
      </c>
      <c r="G170" s="7">
        <v>6.0590578244060826E-2</v>
      </c>
      <c r="H170" t="s">
        <v>32</v>
      </c>
      <c r="I170">
        <v>40508</v>
      </c>
    </row>
    <row r="171" spans="1:9">
      <c r="A171" s="5">
        <v>45740</v>
      </c>
      <c r="B171" t="s">
        <v>23</v>
      </c>
      <c r="C171">
        <v>9561</v>
      </c>
      <c r="D171">
        <v>517</v>
      </c>
      <c r="F171">
        <v>1034649</v>
      </c>
      <c r="G171" s="7">
        <v>6.4086467971263689E-2</v>
      </c>
      <c r="H171" t="s">
        <v>32</v>
      </c>
      <c r="I171">
        <v>15347</v>
      </c>
    </row>
    <row r="172" spans="1:9">
      <c r="A172" s="5">
        <v>45740</v>
      </c>
      <c r="B172" t="s">
        <v>23</v>
      </c>
      <c r="C172">
        <v>3196</v>
      </c>
      <c r="D172">
        <v>348</v>
      </c>
      <c r="F172">
        <v>1037497</v>
      </c>
      <c r="G172" s="7">
        <v>0.14030402015620289</v>
      </c>
      <c r="H172" t="s">
        <v>32</v>
      </c>
      <c r="I172">
        <v>40314</v>
      </c>
    </row>
    <row r="173" spans="1:9">
      <c r="A173" s="5">
        <v>45740</v>
      </c>
      <c r="B173" t="s">
        <v>17</v>
      </c>
      <c r="C173">
        <v>4747</v>
      </c>
      <c r="D173">
        <v>558</v>
      </c>
      <c r="F173">
        <v>1041686</v>
      </c>
      <c r="G173" s="7">
        <v>5.7680529449373442E-2</v>
      </c>
      <c r="H173" t="s">
        <v>32</v>
      </c>
      <c r="I173">
        <v>12643</v>
      </c>
    </row>
    <row r="174" spans="1:9">
      <c r="A174" s="5">
        <v>45740</v>
      </c>
      <c r="B174" t="s">
        <v>23</v>
      </c>
      <c r="C174">
        <v>9843</v>
      </c>
      <c r="D174">
        <v>508</v>
      </c>
      <c r="F174">
        <v>1051021</v>
      </c>
      <c r="G174" s="7">
        <v>4.2080986012648654E-2</v>
      </c>
      <c r="H174" t="s">
        <v>32</v>
      </c>
      <c r="I174">
        <v>50785</v>
      </c>
    </row>
    <row r="175" spans="1:9">
      <c r="A175" s="5">
        <v>45747</v>
      </c>
      <c r="B175" t="s">
        <v>48</v>
      </c>
      <c r="C175">
        <v>6978</v>
      </c>
      <c r="D175">
        <v>706</v>
      </c>
      <c r="F175">
        <v>1057293</v>
      </c>
      <c r="G175" s="7">
        <v>5.057443868445171E-2</v>
      </c>
      <c r="H175" t="s">
        <v>32</v>
      </c>
      <c r="I175">
        <v>28681</v>
      </c>
    </row>
    <row r="176" spans="1:9">
      <c r="A176" s="5">
        <v>45747</v>
      </c>
      <c r="B176" t="s">
        <v>28</v>
      </c>
      <c r="C176">
        <v>6607</v>
      </c>
      <c r="D176">
        <v>479</v>
      </c>
      <c r="F176">
        <v>1063421</v>
      </c>
      <c r="G176" s="7">
        <v>5.5892257158735817E-2</v>
      </c>
      <c r="H176" t="s">
        <v>32</v>
      </c>
      <c r="I176">
        <v>48328</v>
      </c>
    </row>
    <row r="177" spans="1:9">
      <c r="A177" s="5">
        <v>45747</v>
      </c>
      <c r="B177" t="s">
        <v>17</v>
      </c>
      <c r="C177">
        <v>1769</v>
      </c>
      <c r="D177">
        <v>202</v>
      </c>
      <c r="F177">
        <v>1064988</v>
      </c>
      <c r="G177" s="7">
        <v>6.5457075572682516E-2</v>
      </c>
      <c r="H177" t="s">
        <v>32</v>
      </c>
      <c r="I177">
        <v>25892</v>
      </c>
    </row>
    <row r="178" spans="1:9">
      <c r="A178" s="5">
        <v>45747</v>
      </c>
      <c r="B178" t="s">
        <v>23</v>
      </c>
      <c r="C178">
        <v>1780</v>
      </c>
      <c r="D178">
        <v>120</v>
      </c>
      <c r="F178">
        <v>1066648</v>
      </c>
      <c r="G178" s="7">
        <v>0.1386474263299608</v>
      </c>
      <c r="H178" t="s">
        <v>32</v>
      </c>
      <c r="I178">
        <v>57299</v>
      </c>
    </row>
    <row r="179" spans="1:9">
      <c r="A179" s="5">
        <v>45754</v>
      </c>
      <c r="B179" t="s">
        <v>17</v>
      </c>
      <c r="C179">
        <v>7303</v>
      </c>
      <c r="D179">
        <v>869</v>
      </c>
      <c r="F179">
        <v>1073082</v>
      </c>
      <c r="G179" s="7">
        <v>8.123796690280892E-2</v>
      </c>
      <c r="H179" t="s">
        <v>321</v>
      </c>
      <c r="I179">
        <v>27073</v>
      </c>
    </row>
    <row r="180" spans="1:9">
      <c r="A180" s="5">
        <v>45754</v>
      </c>
      <c r="B180" t="s">
        <v>23</v>
      </c>
      <c r="C180">
        <v>4983</v>
      </c>
      <c r="D180">
        <v>441</v>
      </c>
      <c r="F180">
        <v>1077624</v>
      </c>
      <c r="G180" s="7">
        <v>6.8954477628560606E-2</v>
      </c>
      <c r="H180" t="s">
        <v>321</v>
      </c>
      <c r="I180">
        <v>46768</v>
      </c>
    </row>
    <row r="181" spans="1:9">
      <c r="A181" s="5">
        <v>45754</v>
      </c>
      <c r="B181" t="s">
        <v>48</v>
      </c>
      <c r="C181">
        <v>9714</v>
      </c>
      <c r="D181">
        <v>1395</v>
      </c>
      <c r="F181">
        <v>1085943</v>
      </c>
      <c r="G181" s="7">
        <v>5.2243073531483698E-2</v>
      </c>
      <c r="H181" t="s">
        <v>321</v>
      </c>
      <c r="I181">
        <v>40682</v>
      </c>
    </row>
    <row r="182" spans="1:9">
      <c r="A182" s="5">
        <v>45754</v>
      </c>
      <c r="B182" t="s">
        <v>28</v>
      </c>
      <c r="C182">
        <v>1521</v>
      </c>
      <c r="D182">
        <v>96</v>
      </c>
      <c r="F182">
        <v>1087368</v>
      </c>
      <c r="G182" s="7">
        <v>0.12709772588488899</v>
      </c>
      <c r="H182" t="s">
        <v>321</v>
      </c>
      <c r="I182">
        <v>42262</v>
      </c>
    </row>
    <row r="183" spans="1:9">
      <c r="A183" s="5">
        <v>45761</v>
      </c>
      <c r="B183" t="s">
        <v>23</v>
      </c>
      <c r="C183">
        <v>8569</v>
      </c>
      <c r="D183">
        <v>720</v>
      </c>
      <c r="F183">
        <v>1095217</v>
      </c>
      <c r="G183" s="7">
        <v>9.5896977493957827E-2</v>
      </c>
      <c r="H183" t="s">
        <v>321</v>
      </c>
      <c r="I183">
        <v>41358</v>
      </c>
    </row>
    <row r="184" spans="1:9">
      <c r="A184" s="5">
        <v>45761</v>
      </c>
      <c r="B184" t="s">
        <v>23</v>
      </c>
      <c r="C184">
        <v>6784</v>
      </c>
      <c r="D184">
        <v>416</v>
      </c>
      <c r="F184">
        <v>1101585</v>
      </c>
      <c r="G184" s="7">
        <v>9.3041390360253634E-2</v>
      </c>
      <c r="H184" t="s">
        <v>321</v>
      </c>
      <c r="I184">
        <v>24289</v>
      </c>
    </row>
    <row r="185" spans="1:9">
      <c r="A185" s="5">
        <v>45761</v>
      </c>
      <c r="B185" t="s">
        <v>23</v>
      </c>
      <c r="C185">
        <v>5583</v>
      </c>
      <c r="D185">
        <v>795</v>
      </c>
      <c r="F185">
        <v>1106373</v>
      </c>
      <c r="G185" s="7">
        <v>0.1221550055903389</v>
      </c>
      <c r="H185" t="s">
        <v>321</v>
      </c>
      <c r="I185">
        <v>59823</v>
      </c>
    </row>
    <row r="186" spans="1:9">
      <c r="A186" s="5">
        <v>45761</v>
      </c>
      <c r="B186" t="s">
        <v>23</v>
      </c>
      <c r="C186">
        <v>6946</v>
      </c>
      <c r="D186">
        <v>956</v>
      </c>
      <c r="F186">
        <v>1112363</v>
      </c>
      <c r="G186" s="7">
        <v>1.6414605663798602E-2</v>
      </c>
      <c r="H186" t="s">
        <v>321</v>
      </c>
      <c r="I186">
        <v>17927</v>
      </c>
    </row>
    <row r="187" spans="1:9">
      <c r="A187" s="5">
        <v>45768</v>
      </c>
      <c r="B187" t="s">
        <v>28</v>
      </c>
      <c r="C187">
        <v>5941</v>
      </c>
      <c r="D187">
        <v>450</v>
      </c>
      <c r="F187">
        <v>1117854</v>
      </c>
      <c r="G187" s="7">
        <v>0.12414411899944</v>
      </c>
      <c r="H187" t="s">
        <v>321</v>
      </c>
      <c r="I187">
        <v>58330</v>
      </c>
    </row>
    <row r="188" spans="1:9">
      <c r="A188" s="5">
        <v>45768</v>
      </c>
      <c r="B188" t="s">
        <v>28</v>
      </c>
      <c r="C188">
        <v>7267</v>
      </c>
      <c r="D188">
        <v>842</v>
      </c>
      <c r="F188">
        <v>1124279</v>
      </c>
      <c r="G188" s="7">
        <v>2.210216503198939E-2</v>
      </c>
      <c r="H188" t="s">
        <v>321</v>
      </c>
      <c r="I188">
        <v>11171</v>
      </c>
    </row>
    <row r="189" spans="1:9">
      <c r="A189" s="5">
        <v>45768</v>
      </c>
      <c r="B189" t="s">
        <v>48</v>
      </c>
      <c r="C189">
        <v>8128</v>
      </c>
      <c r="D189">
        <v>1070</v>
      </c>
      <c r="F189">
        <v>1131337</v>
      </c>
      <c r="G189" s="7">
        <v>8.1114645768679008E-2</v>
      </c>
      <c r="H189" t="s">
        <v>321</v>
      </c>
      <c r="I189">
        <v>21918</v>
      </c>
    </row>
    <row r="190" spans="1:9">
      <c r="A190" s="5">
        <v>45768</v>
      </c>
      <c r="B190" t="s">
        <v>28</v>
      </c>
      <c r="C190">
        <v>3461</v>
      </c>
      <c r="D190">
        <v>365</v>
      </c>
      <c r="F190">
        <v>1134433</v>
      </c>
      <c r="G190" s="7">
        <v>0.1023489267325616</v>
      </c>
      <c r="H190" t="s">
        <v>321</v>
      </c>
      <c r="I190">
        <v>51903</v>
      </c>
    </row>
    <row r="191" spans="1:9">
      <c r="A191" s="5">
        <v>45775</v>
      </c>
      <c r="B191" t="s">
        <v>23</v>
      </c>
      <c r="C191">
        <v>1685</v>
      </c>
      <c r="D191">
        <v>173</v>
      </c>
      <c r="F191">
        <v>1135945</v>
      </c>
      <c r="G191" s="7">
        <v>8.7776256772995165E-2</v>
      </c>
      <c r="H191" t="s">
        <v>321</v>
      </c>
      <c r="I191">
        <v>49110</v>
      </c>
    </row>
    <row r="192" spans="1:9">
      <c r="A192" s="5">
        <v>45775</v>
      </c>
      <c r="B192" t="s">
        <v>48</v>
      </c>
      <c r="C192">
        <v>3160</v>
      </c>
      <c r="D192">
        <v>234</v>
      </c>
      <c r="F192">
        <v>1138871</v>
      </c>
      <c r="G192" s="7">
        <v>5.6959041015180817E-2</v>
      </c>
      <c r="H192" t="s">
        <v>321</v>
      </c>
      <c r="I192">
        <v>21929</v>
      </c>
    </row>
    <row r="193" spans="1:9">
      <c r="A193" s="5">
        <v>45775</v>
      </c>
      <c r="B193" t="s">
        <v>48</v>
      </c>
      <c r="C193">
        <v>8031</v>
      </c>
      <c r="D193">
        <v>476</v>
      </c>
      <c r="F193">
        <v>1146426</v>
      </c>
      <c r="G193" s="7">
        <v>0.11940413075069832</v>
      </c>
      <c r="H193" t="s">
        <v>321</v>
      </c>
      <c r="I193">
        <v>12539</v>
      </c>
    </row>
    <row r="194" spans="1:9">
      <c r="A194" s="5">
        <v>45775</v>
      </c>
      <c r="B194" t="s">
        <v>48</v>
      </c>
      <c r="C194">
        <v>6341</v>
      </c>
      <c r="D194">
        <v>885</v>
      </c>
      <c r="F194">
        <v>1151882</v>
      </c>
      <c r="G194" s="7">
        <v>6.3457020771224837E-2</v>
      </c>
      <c r="H194" t="s">
        <v>321</v>
      </c>
      <c r="I194">
        <v>46727</v>
      </c>
    </row>
    <row r="195" spans="1:9">
      <c r="A195" s="5">
        <v>45782</v>
      </c>
      <c r="B195" t="s">
        <v>23</v>
      </c>
      <c r="C195">
        <v>1038</v>
      </c>
      <c r="D195">
        <v>145</v>
      </c>
      <c r="F195">
        <v>1152775</v>
      </c>
      <c r="G195" s="7">
        <v>0.11093752033137431</v>
      </c>
      <c r="H195" t="s">
        <v>321</v>
      </c>
      <c r="I195">
        <v>55951</v>
      </c>
    </row>
    <row r="196" spans="1:9">
      <c r="A196" s="5">
        <v>45782</v>
      </c>
      <c r="B196" t="s">
        <v>17</v>
      </c>
      <c r="C196">
        <v>5875</v>
      </c>
      <c r="D196">
        <v>665</v>
      </c>
      <c r="F196">
        <v>1157985</v>
      </c>
      <c r="G196" s="7">
        <v>6.9871371390821127E-2</v>
      </c>
      <c r="H196" t="s">
        <v>321</v>
      </c>
      <c r="I196">
        <v>32669</v>
      </c>
    </row>
    <row r="197" spans="1:9">
      <c r="A197" s="5">
        <v>45782</v>
      </c>
      <c r="B197" t="s">
        <v>23</v>
      </c>
      <c r="C197">
        <v>2256</v>
      </c>
      <c r="D197">
        <v>189</v>
      </c>
      <c r="F197">
        <v>1160052</v>
      </c>
      <c r="G197" s="7">
        <v>2.8935771844710412E-2</v>
      </c>
      <c r="H197" t="s">
        <v>321</v>
      </c>
      <c r="I197">
        <v>15432</v>
      </c>
    </row>
    <row r="198" spans="1:9">
      <c r="A198" s="5">
        <v>45782</v>
      </c>
      <c r="B198" t="s">
        <v>28</v>
      </c>
      <c r="C198">
        <v>8697</v>
      </c>
      <c r="D198">
        <v>738</v>
      </c>
      <c r="F198">
        <v>1168011</v>
      </c>
      <c r="G198" s="7">
        <v>3.877703206562267E-2</v>
      </c>
      <c r="H198" t="s">
        <v>321</v>
      </c>
      <c r="I198">
        <v>30644</v>
      </c>
    </row>
    <row r="199" spans="1:9">
      <c r="A199" s="5">
        <v>45789</v>
      </c>
      <c r="B199" t="s">
        <v>28</v>
      </c>
      <c r="C199">
        <v>3196</v>
      </c>
      <c r="D199">
        <v>391</v>
      </c>
      <c r="F199">
        <v>1170816</v>
      </c>
      <c r="G199" s="7">
        <v>7.2439221876024931E-2</v>
      </c>
      <c r="H199" t="s">
        <v>321</v>
      </c>
      <c r="I199">
        <v>28745</v>
      </c>
    </row>
    <row r="200" spans="1:9">
      <c r="A200" s="5">
        <v>45789</v>
      </c>
      <c r="B200" t="s">
        <v>23</v>
      </c>
      <c r="C200">
        <v>8165</v>
      </c>
      <c r="D200">
        <v>1140</v>
      </c>
      <c r="F200">
        <v>1177841</v>
      </c>
      <c r="G200" s="7">
        <v>9.0959645656756724E-2</v>
      </c>
      <c r="H200" t="s">
        <v>321</v>
      </c>
      <c r="I200">
        <v>38228</v>
      </c>
    </row>
    <row r="201" spans="1:9">
      <c r="A201" s="5">
        <v>45789</v>
      </c>
      <c r="B201" t="s">
        <v>23</v>
      </c>
      <c r="C201">
        <v>1301</v>
      </c>
      <c r="D201">
        <v>180</v>
      </c>
      <c r="F201">
        <v>1178962</v>
      </c>
      <c r="G201" s="7">
        <v>5.2275645864752217E-2</v>
      </c>
      <c r="H201" t="s">
        <v>321</v>
      </c>
      <c r="I201">
        <v>44521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CB4A0-4DD9-4E0A-BAE1-8AFD569A27EB}">
  <dimension ref="A1:P268"/>
  <sheetViews>
    <sheetView workbookViewId="0">
      <selection activeCell="Q21" sqref="Q21"/>
    </sheetView>
  </sheetViews>
  <sheetFormatPr defaultRowHeight="14.4"/>
  <cols>
    <col min="1" max="1" width="10.109375" bestFit="1" customWidth="1"/>
    <col min="2" max="2" width="12.44140625" bestFit="1" customWidth="1"/>
    <col min="3" max="3" width="10.33203125" style="5" bestFit="1" customWidth="1"/>
    <col min="4" max="4" width="16.88671875" bestFit="1" customWidth="1"/>
    <col min="5" max="5" width="18.109375" bestFit="1" customWidth="1"/>
    <col min="6" max="6" width="15.44140625" style="6" bestFit="1" customWidth="1"/>
    <col min="7" max="7" width="31.44140625" bestFit="1" customWidth="1"/>
    <col min="8" max="8" width="8.5546875" style="6" bestFit="1" customWidth="1"/>
    <col min="9" max="9" width="10.21875" style="6" bestFit="1" customWidth="1"/>
    <col min="10" max="10" width="14.6640625" style="6" bestFit="1" customWidth="1"/>
    <col min="11" max="11" width="9.21875" style="6" bestFit="1" customWidth="1"/>
    <col min="12" max="12" width="9.6640625" style="6" bestFit="1" customWidth="1"/>
    <col min="13" max="13" width="16" style="6" bestFit="1" customWidth="1"/>
    <col min="14" max="14" width="26" style="6" bestFit="1" customWidth="1"/>
    <col min="15" max="15" width="16" style="6" bestFit="1" customWidth="1"/>
    <col min="16" max="16" width="22.21875" style="7" bestFit="1" customWidth="1"/>
  </cols>
  <sheetData>
    <row r="1" spans="1:16" s="1" customFormat="1" ht="18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4" t="s">
        <v>15</v>
      </c>
    </row>
    <row r="2" spans="1:16">
      <c r="A2" t="s">
        <v>16</v>
      </c>
      <c r="B2" t="s">
        <v>17</v>
      </c>
      <c r="C2" s="5">
        <v>45649</v>
      </c>
      <c r="D2" t="s">
        <v>18</v>
      </c>
      <c r="E2" t="s">
        <v>19</v>
      </c>
      <c r="F2" t="s">
        <v>20</v>
      </c>
      <c r="G2" t="str">
        <f t="shared" ref="G2:G65" si="0">E2 &amp; "," &amp; F2</f>
        <v>#AppleWatchUltra2,#HealthTech</v>
      </c>
      <c r="H2" s="6">
        <v>24516</v>
      </c>
      <c r="I2" s="6">
        <v>976</v>
      </c>
      <c r="J2" s="6">
        <v>974</v>
      </c>
      <c r="K2" s="6">
        <v>2675</v>
      </c>
      <c r="L2" s="6">
        <v>23275</v>
      </c>
      <c r="M2" s="6">
        <v>202932</v>
      </c>
      <c r="N2" t="s">
        <v>21</v>
      </c>
      <c r="O2" t="str">
        <f t="shared" ref="O2:O65" si="1">IF(ISNUMBER(SEARCH("iPhone 16",N2)),"During","Before")</f>
        <v>Before</v>
      </c>
      <c r="P2" s="7">
        <v>0.49054105563022848</v>
      </c>
    </row>
    <row r="3" spans="1:16">
      <c r="A3" t="s">
        <v>22</v>
      </c>
      <c r="B3" t="s">
        <v>23</v>
      </c>
      <c r="C3" s="5">
        <v>45903</v>
      </c>
      <c r="D3" t="s">
        <v>18</v>
      </c>
      <c r="E3" t="s">
        <v>24</v>
      </c>
      <c r="F3" t="s">
        <v>25</v>
      </c>
      <c r="G3" t="str">
        <f t="shared" si="0"/>
        <v>#MacBookAirM3,#AppleInnovation</v>
      </c>
      <c r="H3" s="6">
        <v>4779</v>
      </c>
      <c r="I3" s="6">
        <v>1110</v>
      </c>
      <c r="J3" s="6">
        <v>436</v>
      </c>
      <c r="K3" s="6">
        <v>1574</v>
      </c>
      <c r="L3" s="6">
        <v>77167</v>
      </c>
      <c r="M3" s="6">
        <v>71585</v>
      </c>
      <c r="N3" t="s">
        <v>26</v>
      </c>
      <c r="O3" t="str">
        <f t="shared" si="1"/>
        <v>Before</v>
      </c>
      <c r="P3" s="7">
        <v>0.454928065278076</v>
      </c>
    </row>
    <row r="4" spans="1:16">
      <c r="A4" t="s">
        <v>27</v>
      </c>
      <c r="B4" t="s">
        <v>28</v>
      </c>
      <c r="C4" s="5">
        <v>45789</v>
      </c>
      <c r="D4" t="s">
        <v>29</v>
      </c>
      <c r="E4" t="s">
        <v>30</v>
      </c>
      <c r="F4" t="s">
        <v>31</v>
      </c>
      <c r="G4" t="str">
        <f t="shared" si="0"/>
        <v>#AppleDesign,#Innovation</v>
      </c>
      <c r="H4" s="6">
        <v>19308</v>
      </c>
      <c r="I4" s="6">
        <v>1318</v>
      </c>
      <c r="J4" s="6">
        <v>795</v>
      </c>
      <c r="K4" s="6">
        <v>1499</v>
      </c>
      <c r="L4" s="6">
        <v>52307</v>
      </c>
      <c r="M4" s="6">
        <v>193087</v>
      </c>
      <c r="N4" t="s">
        <v>32</v>
      </c>
      <c r="O4" t="str">
        <f t="shared" si="1"/>
        <v>Before</v>
      </c>
      <c r="P4" s="7">
        <v>0.41655672298961999</v>
      </c>
    </row>
    <row r="5" spans="1:16">
      <c r="A5" t="s">
        <v>33</v>
      </c>
      <c r="B5" t="s">
        <v>17</v>
      </c>
      <c r="C5" s="5">
        <v>45516</v>
      </c>
      <c r="D5" t="s">
        <v>34</v>
      </c>
      <c r="E5" t="s">
        <v>35</v>
      </c>
      <c r="F5" t="s">
        <v>36</v>
      </c>
      <c r="G5" t="str">
        <f t="shared" si="0"/>
        <v>#AppleEvent,#iPadPro</v>
      </c>
      <c r="H5" s="6">
        <v>3581</v>
      </c>
      <c r="I5" s="6">
        <v>517</v>
      </c>
      <c r="J5" s="6">
        <v>880</v>
      </c>
      <c r="K5" s="6">
        <v>1925</v>
      </c>
      <c r="L5" s="6">
        <v>18636</v>
      </c>
      <c r="M5" s="6">
        <v>248611</v>
      </c>
      <c r="N5" t="s">
        <v>37</v>
      </c>
      <c r="O5" t="str">
        <f t="shared" si="1"/>
        <v>During</v>
      </c>
      <c r="P5" s="7">
        <v>0.40382152376337016</v>
      </c>
    </row>
    <row r="6" spans="1:16">
      <c r="A6" t="s">
        <v>38</v>
      </c>
      <c r="B6" t="s">
        <v>17</v>
      </c>
      <c r="C6" s="5">
        <v>45904</v>
      </c>
      <c r="D6" t="s">
        <v>34</v>
      </c>
      <c r="E6" t="s">
        <v>19</v>
      </c>
      <c r="F6" t="s">
        <v>20</v>
      </c>
      <c r="G6" t="str">
        <f t="shared" si="0"/>
        <v>#AppleWatchUltra2,#HealthTech</v>
      </c>
      <c r="H6" s="6">
        <v>21708</v>
      </c>
      <c r="I6" s="6">
        <v>435</v>
      </c>
      <c r="J6" s="6">
        <v>317</v>
      </c>
      <c r="K6" s="6">
        <v>1213</v>
      </c>
      <c r="L6" s="6">
        <v>70701</v>
      </c>
      <c r="M6" s="6">
        <v>83585</v>
      </c>
      <c r="N6" t="s">
        <v>26</v>
      </c>
      <c r="O6" t="str">
        <f t="shared" si="1"/>
        <v>Before</v>
      </c>
      <c r="P6" s="7">
        <v>0.39401343921808185</v>
      </c>
    </row>
    <row r="7" spans="1:16">
      <c r="A7" t="s">
        <v>39</v>
      </c>
      <c r="B7" t="s">
        <v>28</v>
      </c>
      <c r="C7" s="5">
        <v>45467</v>
      </c>
      <c r="D7" t="s">
        <v>40</v>
      </c>
      <c r="E7" t="s">
        <v>41</v>
      </c>
      <c r="F7" t="s">
        <v>42</v>
      </c>
      <c r="G7" t="str">
        <f t="shared" si="0"/>
        <v>#AppleMusic,#AppleLifestyle</v>
      </c>
      <c r="H7" s="6">
        <v>7713</v>
      </c>
      <c r="I7" s="6">
        <v>575</v>
      </c>
      <c r="J7" s="6">
        <v>417</v>
      </c>
      <c r="K7" s="6">
        <v>336</v>
      </c>
      <c r="L7" s="6">
        <v>61660</v>
      </c>
      <c r="M7" s="6">
        <v>66017</v>
      </c>
      <c r="N7" t="s">
        <v>37</v>
      </c>
      <c r="O7" t="str">
        <f t="shared" si="1"/>
        <v>During</v>
      </c>
      <c r="P7" s="7">
        <v>0.36764099509781462</v>
      </c>
    </row>
    <row r="8" spans="1:16">
      <c r="A8" t="s">
        <v>43</v>
      </c>
      <c r="B8" t="s">
        <v>28</v>
      </c>
      <c r="C8" s="5">
        <v>45486</v>
      </c>
      <c r="D8" t="s">
        <v>34</v>
      </c>
      <c r="E8" t="s">
        <v>44</v>
      </c>
      <c r="F8" t="s">
        <v>45</v>
      </c>
      <c r="G8" t="str">
        <f t="shared" si="0"/>
        <v>#AppleWatch,#Health</v>
      </c>
      <c r="H8" s="6">
        <v>18639</v>
      </c>
      <c r="I8" s="6">
        <v>1360</v>
      </c>
      <c r="J8" s="6">
        <v>898</v>
      </c>
      <c r="K8" s="6">
        <v>2011</v>
      </c>
      <c r="L8" s="6">
        <v>42841</v>
      </c>
      <c r="M8" s="6">
        <v>247779</v>
      </c>
      <c r="N8" t="s">
        <v>37</v>
      </c>
      <c r="O8" t="str">
        <f t="shared" si="1"/>
        <v>During</v>
      </c>
      <c r="P8" s="7">
        <v>0.35412345125301342</v>
      </c>
    </row>
    <row r="9" spans="1:16">
      <c r="A9" t="s">
        <v>46</v>
      </c>
      <c r="B9" t="s">
        <v>17</v>
      </c>
      <c r="C9" s="5">
        <v>45534</v>
      </c>
      <c r="D9" t="s">
        <v>40</v>
      </c>
      <c r="E9" t="s">
        <v>24</v>
      </c>
      <c r="F9" t="s">
        <v>25</v>
      </c>
      <c r="G9" t="str">
        <f t="shared" si="0"/>
        <v>#MacBookAirM3,#AppleInnovation</v>
      </c>
      <c r="H9" s="6">
        <v>6804</v>
      </c>
      <c r="I9" s="6">
        <v>787</v>
      </c>
      <c r="J9" s="6">
        <v>970</v>
      </c>
      <c r="K9" s="6">
        <v>1095</v>
      </c>
      <c r="L9" s="6">
        <v>56343</v>
      </c>
      <c r="M9" s="6">
        <v>164677</v>
      </c>
      <c r="N9" t="s">
        <v>21</v>
      </c>
      <c r="O9" t="str">
        <f t="shared" si="1"/>
        <v>Before</v>
      </c>
      <c r="P9" s="7">
        <v>0.33944448049841003</v>
      </c>
    </row>
    <row r="10" spans="1:16">
      <c r="A10" t="s">
        <v>47</v>
      </c>
      <c r="B10" t="s">
        <v>48</v>
      </c>
      <c r="C10" s="5">
        <v>45727</v>
      </c>
      <c r="D10" t="s">
        <v>34</v>
      </c>
      <c r="E10" t="s">
        <v>49</v>
      </c>
      <c r="F10" t="s">
        <v>35</v>
      </c>
      <c r="G10" t="str">
        <f t="shared" si="0"/>
        <v>#iPhone16Launch,#AppleEvent</v>
      </c>
      <c r="H10" s="6">
        <v>20222</v>
      </c>
      <c r="I10" s="6">
        <v>712</v>
      </c>
      <c r="J10" s="6">
        <v>604</v>
      </c>
      <c r="K10" s="6">
        <v>1272</v>
      </c>
      <c r="L10" s="6">
        <v>71598</v>
      </c>
      <c r="M10" s="6">
        <v>216422</v>
      </c>
      <c r="N10" t="s">
        <v>32</v>
      </c>
      <c r="O10" t="str">
        <f t="shared" si="1"/>
        <v>Before</v>
      </c>
      <c r="P10" s="7">
        <v>0.33811899081905589</v>
      </c>
    </row>
    <row r="11" spans="1:16">
      <c r="A11" t="s">
        <v>50</v>
      </c>
      <c r="B11" t="s">
        <v>17</v>
      </c>
      <c r="C11" s="5">
        <v>45690</v>
      </c>
      <c r="D11" t="s">
        <v>40</v>
      </c>
      <c r="E11" t="s">
        <v>35</v>
      </c>
      <c r="F11" t="s">
        <v>36</v>
      </c>
      <c r="G11" t="str">
        <f t="shared" si="0"/>
        <v>#AppleEvent,#iPadPro</v>
      </c>
      <c r="H11" s="6">
        <v>12136</v>
      </c>
      <c r="I11" s="6">
        <v>1117</v>
      </c>
      <c r="J11" s="6">
        <v>834</v>
      </c>
      <c r="K11" s="6">
        <v>892</v>
      </c>
      <c r="L11" s="6">
        <v>24675</v>
      </c>
      <c r="M11" s="6">
        <v>183273</v>
      </c>
      <c r="N11" t="s">
        <v>32</v>
      </c>
      <c r="O11" t="str">
        <f t="shared" si="1"/>
        <v>Before</v>
      </c>
      <c r="P11" s="7">
        <v>0.33664878305877266</v>
      </c>
    </row>
    <row r="12" spans="1:16">
      <c r="A12" t="s">
        <v>51</v>
      </c>
      <c r="B12" t="s">
        <v>17</v>
      </c>
      <c r="C12" s="5">
        <v>45494</v>
      </c>
      <c r="D12" t="s">
        <v>29</v>
      </c>
      <c r="E12" t="s">
        <v>24</v>
      </c>
      <c r="F12" t="s">
        <v>25</v>
      </c>
      <c r="G12" t="str">
        <f t="shared" si="0"/>
        <v>#MacBookAirM3,#AppleInnovation</v>
      </c>
      <c r="H12" s="6">
        <v>2009</v>
      </c>
      <c r="I12" s="6">
        <v>1072</v>
      </c>
      <c r="J12" s="6">
        <v>550</v>
      </c>
      <c r="K12" s="6">
        <v>1437</v>
      </c>
      <c r="L12" s="6">
        <v>22982</v>
      </c>
      <c r="M12" s="6">
        <v>69426</v>
      </c>
      <c r="N12" t="s">
        <v>37</v>
      </c>
      <c r="O12" t="str">
        <f t="shared" si="1"/>
        <v>During</v>
      </c>
      <c r="P12" s="7">
        <v>0.33614125678277612</v>
      </c>
    </row>
    <row r="13" spans="1:16">
      <c r="A13" t="s">
        <v>52</v>
      </c>
      <c r="B13" t="s">
        <v>17</v>
      </c>
      <c r="C13" s="5">
        <v>45614</v>
      </c>
      <c r="D13" t="s">
        <v>40</v>
      </c>
      <c r="E13" t="s">
        <v>41</v>
      </c>
      <c r="F13" t="s">
        <v>42</v>
      </c>
      <c r="G13" t="str">
        <f t="shared" si="0"/>
        <v>#AppleMusic,#AppleLifestyle</v>
      </c>
      <c r="H13" s="6">
        <v>21255</v>
      </c>
      <c r="I13" s="6">
        <v>1452</v>
      </c>
      <c r="J13" s="6">
        <v>625</v>
      </c>
      <c r="K13" s="6">
        <v>1624</v>
      </c>
      <c r="L13" s="6">
        <v>21282</v>
      </c>
      <c r="M13" s="6">
        <v>57778</v>
      </c>
      <c r="N13" t="s">
        <v>53</v>
      </c>
      <c r="O13" t="str">
        <f t="shared" si="1"/>
        <v>Before</v>
      </c>
      <c r="P13" s="7">
        <v>0.33122708479600593</v>
      </c>
    </row>
    <row r="14" spans="1:16">
      <c r="A14" t="s">
        <v>54</v>
      </c>
      <c r="B14" t="s">
        <v>17</v>
      </c>
      <c r="C14" s="5">
        <v>45906</v>
      </c>
      <c r="D14" t="s">
        <v>29</v>
      </c>
      <c r="E14" t="s">
        <v>44</v>
      </c>
      <c r="F14" t="s">
        <v>45</v>
      </c>
      <c r="G14" t="str">
        <f t="shared" si="0"/>
        <v>#AppleWatch,#Health</v>
      </c>
      <c r="H14" s="6">
        <v>7124</v>
      </c>
      <c r="I14" s="6">
        <v>469</v>
      </c>
      <c r="J14" s="6">
        <v>851</v>
      </c>
      <c r="K14" s="6">
        <v>2571</v>
      </c>
      <c r="L14" s="6">
        <v>33802</v>
      </c>
      <c r="M14" s="6">
        <v>216313</v>
      </c>
      <c r="N14" t="s">
        <v>26</v>
      </c>
      <c r="O14" t="str">
        <f t="shared" si="1"/>
        <v>Before</v>
      </c>
      <c r="P14" s="7">
        <v>0.32075321024723696</v>
      </c>
    </row>
    <row r="15" spans="1:16">
      <c r="A15" t="s">
        <v>55</v>
      </c>
      <c r="B15" t="s">
        <v>23</v>
      </c>
      <c r="C15" s="5">
        <v>45907</v>
      </c>
      <c r="D15" t="s">
        <v>29</v>
      </c>
      <c r="E15" t="s">
        <v>30</v>
      </c>
      <c r="F15" t="s">
        <v>31</v>
      </c>
      <c r="G15" t="str">
        <f t="shared" si="0"/>
        <v>#AppleDesign,#Innovation</v>
      </c>
      <c r="H15" s="6">
        <v>3015</v>
      </c>
      <c r="I15" s="6">
        <v>997</v>
      </c>
      <c r="J15" s="6">
        <v>783</v>
      </c>
      <c r="K15" s="6">
        <v>617</v>
      </c>
      <c r="L15" s="6">
        <v>77167</v>
      </c>
      <c r="M15" s="6">
        <v>82229</v>
      </c>
      <c r="N15" t="s">
        <v>26</v>
      </c>
      <c r="O15" t="str">
        <f t="shared" si="1"/>
        <v>Before</v>
      </c>
      <c r="P15" s="7">
        <v>0.30411037171472743</v>
      </c>
    </row>
    <row r="16" spans="1:16">
      <c r="A16" t="s">
        <v>56</v>
      </c>
      <c r="B16" t="s">
        <v>28</v>
      </c>
      <c r="C16" s="5">
        <v>45530</v>
      </c>
      <c r="D16" t="s">
        <v>40</v>
      </c>
      <c r="E16" t="s">
        <v>44</v>
      </c>
      <c r="F16" t="s">
        <v>45</v>
      </c>
      <c r="G16" t="str">
        <f t="shared" si="0"/>
        <v>#AppleWatch,#Health</v>
      </c>
      <c r="H16" s="6">
        <v>4193</v>
      </c>
      <c r="I16" s="6">
        <v>924</v>
      </c>
      <c r="J16" s="6">
        <v>707</v>
      </c>
      <c r="K16" s="6">
        <v>2696</v>
      </c>
      <c r="L16" s="6">
        <v>55075</v>
      </c>
      <c r="M16" s="6">
        <v>126652</v>
      </c>
      <c r="N16" t="s">
        <v>37</v>
      </c>
      <c r="O16" t="str">
        <f t="shared" si="1"/>
        <v>During</v>
      </c>
      <c r="P16" s="7">
        <v>0.29972609886526674</v>
      </c>
    </row>
    <row r="17" spans="1:16">
      <c r="A17" t="s">
        <v>57</v>
      </c>
      <c r="B17" t="s">
        <v>23</v>
      </c>
      <c r="C17" s="5">
        <v>45782</v>
      </c>
      <c r="D17" t="s">
        <v>29</v>
      </c>
      <c r="E17" t="s">
        <v>35</v>
      </c>
      <c r="F17" t="s">
        <v>58</v>
      </c>
      <c r="G17" t="str">
        <f t="shared" si="0"/>
        <v>#AppleEvent,#iPhone16</v>
      </c>
      <c r="H17" s="6">
        <v>10415</v>
      </c>
      <c r="I17" s="6">
        <v>1388</v>
      </c>
      <c r="J17" s="6">
        <v>725</v>
      </c>
      <c r="K17" s="6">
        <v>2462</v>
      </c>
      <c r="L17" s="6">
        <v>53082</v>
      </c>
      <c r="M17" s="6">
        <v>168267</v>
      </c>
      <c r="N17" t="s">
        <v>53</v>
      </c>
      <c r="O17" t="str">
        <f t="shared" si="1"/>
        <v>Before</v>
      </c>
      <c r="P17" s="7">
        <v>0.27422598307615731</v>
      </c>
    </row>
    <row r="18" spans="1:16">
      <c r="A18" t="s">
        <v>59</v>
      </c>
      <c r="B18" t="s">
        <v>23</v>
      </c>
      <c r="C18" s="5">
        <v>45523</v>
      </c>
      <c r="D18" t="s">
        <v>18</v>
      </c>
      <c r="E18" t="s">
        <v>44</v>
      </c>
      <c r="F18" t="s">
        <v>45</v>
      </c>
      <c r="G18" t="str">
        <f t="shared" si="0"/>
        <v>#AppleWatch,#Health</v>
      </c>
      <c r="H18" s="6">
        <v>15550</v>
      </c>
      <c r="I18" s="6">
        <v>204</v>
      </c>
      <c r="J18" s="6">
        <v>279</v>
      </c>
      <c r="K18" s="6">
        <v>1646</v>
      </c>
      <c r="L18" s="6">
        <v>35819</v>
      </c>
      <c r="M18" s="6">
        <v>219436</v>
      </c>
      <c r="N18" t="s">
        <v>21</v>
      </c>
      <c r="O18" t="str">
        <f t="shared" si="1"/>
        <v>Before</v>
      </c>
      <c r="P18" s="7">
        <v>0.26870850032900639</v>
      </c>
    </row>
    <row r="19" spans="1:16">
      <c r="A19" t="s">
        <v>60</v>
      </c>
      <c r="B19" t="s">
        <v>23</v>
      </c>
      <c r="C19" s="5">
        <v>45466</v>
      </c>
      <c r="D19" t="s">
        <v>29</v>
      </c>
      <c r="E19" t="s">
        <v>35</v>
      </c>
      <c r="F19" t="s">
        <v>58</v>
      </c>
      <c r="G19" t="str">
        <f t="shared" si="0"/>
        <v>#AppleEvent,#iPhone16</v>
      </c>
      <c r="H19" s="6">
        <v>16512</v>
      </c>
      <c r="I19" s="6">
        <v>1050</v>
      </c>
      <c r="J19" s="6">
        <v>971</v>
      </c>
      <c r="K19" s="6">
        <v>1891</v>
      </c>
      <c r="L19" s="6">
        <v>15865</v>
      </c>
      <c r="M19" s="6">
        <v>166503</v>
      </c>
      <c r="N19" t="s">
        <v>37</v>
      </c>
      <c r="O19" t="str">
        <f t="shared" si="1"/>
        <v>During</v>
      </c>
      <c r="P19" s="7">
        <v>0.26499649047027696</v>
      </c>
    </row>
    <row r="20" spans="1:16">
      <c r="A20" t="s">
        <v>61</v>
      </c>
      <c r="B20" t="s">
        <v>17</v>
      </c>
      <c r="C20" s="5">
        <v>45544</v>
      </c>
      <c r="D20" t="s">
        <v>34</v>
      </c>
      <c r="E20" t="s">
        <v>30</v>
      </c>
      <c r="F20" t="s">
        <v>31</v>
      </c>
      <c r="G20" t="str">
        <f t="shared" si="0"/>
        <v>#AppleDesign,#Innovation</v>
      </c>
      <c r="H20" s="6">
        <v>6158</v>
      </c>
      <c r="I20" s="6">
        <v>277</v>
      </c>
      <c r="J20" s="6">
        <v>512</v>
      </c>
      <c r="K20" s="6">
        <v>2189</v>
      </c>
      <c r="L20" s="6">
        <v>76881</v>
      </c>
      <c r="M20" s="6">
        <v>124878</v>
      </c>
      <c r="N20" t="s">
        <v>37</v>
      </c>
      <c r="O20" t="str">
        <f t="shared" si="1"/>
        <v>During</v>
      </c>
      <c r="P20" s="7">
        <v>0.25244444444444447</v>
      </c>
    </row>
    <row r="21" spans="1:16">
      <c r="A21" t="s">
        <v>62</v>
      </c>
      <c r="B21" t="s">
        <v>48</v>
      </c>
      <c r="C21" s="5">
        <v>45908</v>
      </c>
      <c r="D21" t="s">
        <v>40</v>
      </c>
      <c r="E21" t="s">
        <v>63</v>
      </c>
      <c r="F21" t="s">
        <v>64</v>
      </c>
      <c r="G21" t="str">
        <f t="shared" si="0"/>
        <v>#iPhonePhotography,#ShotOniPhone</v>
      </c>
      <c r="H21" s="6">
        <v>22309</v>
      </c>
      <c r="I21" s="6">
        <v>773</v>
      </c>
      <c r="J21" s="6">
        <v>854</v>
      </c>
      <c r="K21" s="6">
        <v>2387</v>
      </c>
      <c r="L21" s="6">
        <v>72396</v>
      </c>
      <c r="M21" s="6">
        <v>97056</v>
      </c>
      <c r="N21" t="s">
        <v>26</v>
      </c>
      <c r="O21" t="str">
        <f t="shared" si="1"/>
        <v>Before</v>
      </c>
      <c r="P21" s="7">
        <v>0.24961472145505592</v>
      </c>
    </row>
    <row r="22" spans="1:16">
      <c r="A22" t="s">
        <v>65</v>
      </c>
      <c r="B22" t="s">
        <v>28</v>
      </c>
      <c r="C22" s="5">
        <v>45715</v>
      </c>
      <c r="D22" t="s">
        <v>18</v>
      </c>
      <c r="E22" t="s">
        <v>41</v>
      </c>
      <c r="F22" t="s">
        <v>42</v>
      </c>
      <c r="G22" t="str">
        <f t="shared" si="0"/>
        <v>#AppleMusic,#AppleLifestyle</v>
      </c>
      <c r="H22" s="6">
        <v>8970</v>
      </c>
      <c r="I22" s="6">
        <v>331</v>
      </c>
      <c r="J22" s="6">
        <v>968</v>
      </c>
      <c r="K22" s="6">
        <v>2296</v>
      </c>
      <c r="L22" s="6">
        <v>24613</v>
      </c>
      <c r="M22" s="6">
        <v>198562</v>
      </c>
      <c r="N22" t="s">
        <v>37</v>
      </c>
      <c r="O22" t="str">
        <f t="shared" si="1"/>
        <v>During</v>
      </c>
      <c r="P22" s="7">
        <v>0.24662050774810418</v>
      </c>
    </row>
    <row r="23" spans="1:16">
      <c r="A23" t="s">
        <v>66</v>
      </c>
      <c r="B23" t="s">
        <v>48</v>
      </c>
      <c r="C23" s="5">
        <v>45602</v>
      </c>
      <c r="D23" t="s">
        <v>40</v>
      </c>
      <c r="E23" t="s">
        <v>35</v>
      </c>
      <c r="F23" t="s">
        <v>58</v>
      </c>
      <c r="G23" t="str">
        <f t="shared" si="0"/>
        <v>#AppleEvent,#iPhone16</v>
      </c>
      <c r="H23" s="6">
        <v>8938</v>
      </c>
      <c r="I23" s="6">
        <v>800</v>
      </c>
      <c r="J23" s="6">
        <v>842</v>
      </c>
      <c r="K23" s="6">
        <v>2072</v>
      </c>
      <c r="L23" s="6">
        <v>31736</v>
      </c>
      <c r="M23" s="6">
        <v>59975</v>
      </c>
      <c r="N23" t="s">
        <v>37</v>
      </c>
      <c r="O23" t="str">
        <f t="shared" si="1"/>
        <v>During</v>
      </c>
      <c r="P23" s="7">
        <v>0.24524738373893121</v>
      </c>
    </row>
    <row r="24" spans="1:16">
      <c r="A24" t="s">
        <v>67</v>
      </c>
      <c r="B24" t="s">
        <v>23</v>
      </c>
      <c r="C24" s="5">
        <v>45680</v>
      </c>
      <c r="D24" t="s">
        <v>34</v>
      </c>
      <c r="E24" t="s">
        <v>49</v>
      </c>
      <c r="F24" t="s">
        <v>35</v>
      </c>
      <c r="G24" t="str">
        <f t="shared" si="0"/>
        <v>#iPhone16Launch,#AppleEvent</v>
      </c>
      <c r="H24" s="6">
        <v>23168</v>
      </c>
      <c r="I24" s="6">
        <v>1265</v>
      </c>
      <c r="J24" s="6">
        <v>441</v>
      </c>
      <c r="K24" s="6">
        <v>1612</v>
      </c>
      <c r="L24" s="6">
        <v>66615</v>
      </c>
      <c r="M24" s="6">
        <v>197795</v>
      </c>
      <c r="N24" t="s">
        <v>37</v>
      </c>
      <c r="O24" t="str">
        <f t="shared" si="1"/>
        <v>During</v>
      </c>
      <c r="P24" s="7">
        <v>0.24183897379385011</v>
      </c>
    </row>
    <row r="25" spans="1:16">
      <c r="A25" t="s">
        <v>68</v>
      </c>
      <c r="B25" t="s">
        <v>23</v>
      </c>
      <c r="C25" s="5">
        <v>45909</v>
      </c>
      <c r="D25" t="s">
        <v>34</v>
      </c>
      <c r="E25" t="s">
        <v>44</v>
      </c>
      <c r="F25" t="s">
        <v>45</v>
      </c>
      <c r="G25" t="str">
        <f t="shared" si="0"/>
        <v>#AppleWatch,#Health</v>
      </c>
      <c r="H25" s="6">
        <v>15772</v>
      </c>
      <c r="I25" s="6">
        <v>288</v>
      </c>
      <c r="J25" s="6">
        <v>520</v>
      </c>
      <c r="K25" s="6">
        <v>1585</v>
      </c>
      <c r="L25" s="6">
        <v>59182</v>
      </c>
      <c r="M25" s="6">
        <v>194351</v>
      </c>
      <c r="N25" t="s">
        <v>26</v>
      </c>
      <c r="O25" t="str">
        <f t="shared" si="1"/>
        <v>Before</v>
      </c>
      <c r="P25" s="7">
        <v>0.24061371496264594</v>
      </c>
    </row>
    <row r="26" spans="1:16">
      <c r="A26" t="s">
        <v>69</v>
      </c>
      <c r="B26" t="s">
        <v>48</v>
      </c>
      <c r="C26" s="5">
        <v>45752</v>
      </c>
      <c r="D26" t="s">
        <v>34</v>
      </c>
      <c r="E26" t="s">
        <v>44</v>
      </c>
      <c r="F26" t="s">
        <v>45</v>
      </c>
      <c r="G26" t="str">
        <f t="shared" si="0"/>
        <v>#AppleWatch,#Health</v>
      </c>
      <c r="H26" s="6">
        <v>22384</v>
      </c>
      <c r="I26" s="6">
        <v>601</v>
      </c>
      <c r="J26" s="6">
        <v>943</v>
      </c>
      <c r="K26" s="6">
        <v>515</v>
      </c>
      <c r="L26" s="6">
        <v>41309</v>
      </c>
      <c r="M26" s="6">
        <v>249373</v>
      </c>
      <c r="N26" t="s">
        <v>21</v>
      </c>
      <c r="O26" t="str">
        <f t="shared" si="1"/>
        <v>Before</v>
      </c>
      <c r="P26" s="7">
        <v>0.23651095419156257</v>
      </c>
    </row>
    <row r="27" spans="1:16">
      <c r="A27" t="s">
        <v>70</v>
      </c>
      <c r="B27" t="s">
        <v>48</v>
      </c>
      <c r="C27" s="5">
        <v>45552</v>
      </c>
      <c r="D27" t="s">
        <v>29</v>
      </c>
      <c r="E27" t="s">
        <v>49</v>
      </c>
      <c r="F27" t="s">
        <v>35</v>
      </c>
      <c r="G27" t="str">
        <f t="shared" si="0"/>
        <v>#iPhone16Launch,#AppleEvent</v>
      </c>
      <c r="H27" s="6">
        <v>20017</v>
      </c>
      <c r="I27" s="6">
        <v>495</v>
      </c>
      <c r="J27" s="6">
        <v>178</v>
      </c>
      <c r="K27" s="6">
        <v>2683</v>
      </c>
      <c r="L27" s="6">
        <v>32244</v>
      </c>
      <c r="M27" s="6">
        <v>182633</v>
      </c>
      <c r="N27" t="s">
        <v>21</v>
      </c>
      <c r="O27" t="str">
        <f t="shared" si="1"/>
        <v>Before</v>
      </c>
      <c r="P27" s="7">
        <v>0.23586093672751696</v>
      </c>
    </row>
    <row r="28" spans="1:16">
      <c r="A28" t="s">
        <v>71</v>
      </c>
      <c r="B28" t="s">
        <v>23</v>
      </c>
      <c r="C28" s="5">
        <v>45713</v>
      </c>
      <c r="D28" t="s">
        <v>40</v>
      </c>
      <c r="E28" t="s">
        <v>63</v>
      </c>
      <c r="F28" t="s">
        <v>64</v>
      </c>
      <c r="G28" t="str">
        <f t="shared" si="0"/>
        <v>#iPhonePhotography,#ShotOniPhone</v>
      </c>
      <c r="H28" s="6">
        <v>10702</v>
      </c>
      <c r="I28" s="6">
        <v>621</v>
      </c>
      <c r="J28" s="6">
        <v>445</v>
      </c>
      <c r="K28" s="6">
        <v>2918</v>
      </c>
      <c r="L28" s="6">
        <v>54808</v>
      </c>
      <c r="M28" s="6">
        <v>220225</v>
      </c>
      <c r="N28" t="s">
        <v>21</v>
      </c>
      <c r="O28" t="str">
        <f t="shared" si="1"/>
        <v>Before</v>
      </c>
      <c r="P28" s="7">
        <v>0.22984003241803833</v>
      </c>
    </row>
    <row r="29" spans="1:16">
      <c r="A29" t="s">
        <v>72</v>
      </c>
      <c r="B29" t="s">
        <v>28</v>
      </c>
      <c r="C29" s="5">
        <v>45642</v>
      </c>
      <c r="D29" t="s">
        <v>18</v>
      </c>
      <c r="E29" t="s">
        <v>35</v>
      </c>
      <c r="F29" t="s">
        <v>36</v>
      </c>
      <c r="G29" t="str">
        <f t="shared" si="0"/>
        <v>#AppleEvent,#iPadPro</v>
      </c>
      <c r="H29" s="6">
        <v>2384</v>
      </c>
      <c r="I29" s="6">
        <v>1246</v>
      </c>
      <c r="J29" s="6">
        <v>160</v>
      </c>
      <c r="K29" s="6">
        <v>2004</v>
      </c>
      <c r="L29" s="6">
        <v>2701</v>
      </c>
      <c r="M29" s="6">
        <v>73142</v>
      </c>
      <c r="N29" t="s">
        <v>21</v>
      </c>
      <c r="O29" t="str">
        <f t="shared" si="1"/>
        <v>Before</v>
      </c>
      <c r="P29" s="7">
        <v>0.22742805582752595</v>
      </c>
    </row>
    <row r="30" spans="1:16">
      <c r="A30" t="s">
        <v>73</v>
      </c>
      <c r="B30" t="s">
        <v>28</v>
      </c>
      <c r="C30" s="5">
        <v>45504</v>
      </c>
      <c r="D30" t="s">
        <v>18</v>
      </c>
      <c r="E30" t="s">
        <v>35</v>
      </c>
      <c r="F30" t="s">
        <v>58</v>
      </c>
      <c r="G30" t="str">
        <f t="shared" si="0"/>
        <v>#AppleEvent,#iPhone16</v>
      </c>
      <c r="H30" s="6">
        <v>2404</v>
      </c>
      <c r="I30" s="6">
        <v>774</v>
      </c>
      <c r="J30" s="6">
        <v>661</v>
      </c>
      <c r="K30" s="6">
        <v>662</v>
      </c>
      <c r="L30" s="6">
        <v>12676</v>
      </c>
      <c r="M30" s="6">
        <v>66916</v>
      </c>
      <c r="N30" t="s">
        <v>21</v>
      </c>
      <c r="O30" t="str">
        <f t="shared" si="1"/>
        <v>Before</v>
      </c>
      <c r="P30" s="7">
        <v>0.22627275835984373</v>
      </c>
    </row>
    <row r="31" spans="1:16">
      <c r="A31" t="s">
        <v>74</v>
      </c>
      <c r="B31" t="s">
        <v>23</v>
      </c>
      <c r="C31" s="5">
        <v>45911</v>
      </c>
      <c r="D31" t="s">
        <v>40</v>
      </c>
      <c r="E31" t="s">
        <v>49</v>
      </c>
      <c r="F31" t="s">
        <v>35</v>
      </c>
      <c r="G31" t="str">
        <f t="shared" si="0"/>
        <v>#iPhone16Launch,#AppleEvent</v>
      </c>
      <c r="H31" s="6">
        <v>10175</v>
      </c>
      <c r="I31" s="6">
        <v>342</v>
      </c>
      <c r="J31" s="6">
        <v>825</v>
      </c>
      <c r="K31" s="6">
        <v>2904</v>
      </c>
      <c r="L31" s="6">
        <v>15954</v>
      </c>
      <c r="M31" s="6">
        <v>104324</v>
      </c>
      <c r="N31" t="s">
        <v>26</v>
      </c>
      <c r="O31" t="str">
        <f t="shared" si="1"/>
        <v>Before</v>
      </c>
      <c r="P31" s="7">
        <v>0.22216963147030594</v>
      </c>
    </row>
    <row r="32" spans="1:16">
      <c r="A32" t="s">
        <v>75</v>
      </c>
      <c r="B32" t="s">
        <v>48</v>
      </c>
      <c r="C32" s="5">
        <v>45912</v>
      </c>
      <c r="D32" t="s">
        <v>29</v>
      </c>
      <c r="E32" t="s">
        <v>30</v>
      </c>
      <c r="F32" t="s">
        <v>31</v>
      </c>
      <c r="G32" t="str">
        <f t="shared" si="0"/>
        <v>#AppleDesign,#Innovation</v>
      </c>
      <c r="H32" s="6">
        <v>17158</v>
      </c>
      <c r="I32" s="6">
        <v>1192</v>
      </c>
      <c r="J32" s="6">
        <v>262</v>
      </c>
      <c r="K32" s="6">
        <v>2016</v>
      </c>
      <c r="L32" s="6">
        <v>28771</v>
      </c>
      <c r="M32" s="6">
        <v>216037</v>
      </c>
      <c r="N32" t="s">
        <v>26</v>
      </c>
      <c r="O32" t="str">
        <f t="shared" si="1"/>
        <v>Before</v>
      </c>
      <c r="P32" s="7">
        <v>0.22195056640238436</v>
      </c>
    </row>
    <row r="33" spans="1:16">
      <c r="A33" t="s">
        <v>76</v>
      </c>
      <c r="B33" t="s">
        <v>48</v>
      </c>
      <c r="C33" s="5">
        <v>45626</v>
      </c>
      <c r="D33" t="s">
        <v>34</v>
      </c>
      <c r="E33" t="s">
        <v>35</v>
      </c>
      <c r="F33" t="s">
        <v>58</v>
      </c>
      <c r="G33" t="str">
        <f t="shared" si="0"/>
        <v>#AppleEvent,#iPhone16</v>
      </c>
      <c r="H33" s="6">
        <v>14763</v>
      </c>
      <c r="I33" s="6">
        <v>864</v>
      </c>
      <c r="J33" s="6">
        <v>336</v>
      </c>
      <c r="K33" s="6">
        <v>1493</v>
      </c>
      <c r="L33" s="6">
        <v>33310</v>
      </c>
      <c r="M33" s="6">
        <v>165932</v>
      </c>
      <c r="N33" t="s">
        <v>37</v>
      </c>
      <c r="O33" t="str">
        <f t="shared" si="1"/>
        <v>During</v>
      </c>
      <c r="P33" s="7">
        <v>0.2145350682323072</v>
      </c>
    </row>
    <row r="34" spans="1:16">
      <c r="A34" t="s">
        <v>77</v>
      </c>
      <c r="B34" t="s">
        <v>23</v>
      </c>
      <c r="C34" s="5">
        <v>45663</v>
      </c>
      <c r="D34" t="s">
        <v>18</v>
      </c>
      <c r="E34" t="s">
        <v>30</v>
      </c>
      <c r="F34" t="s">
        <v>31</v>
      </c>
      <c r="G34" t="str">
        <f t="shared" si="0"/>
        <v>#AppleDesign,#Innovation</v>
      </c>
      <c r="H34" s="6">
        <v>11860</v>
      </c>
      <c r="I34" s="6">
        <v>1448</v>
      </c>
      <c r="J34" s="6">
        <v>893</v>
      </c>
      <c r="K34" s="6">
        <v>490</v>
      </c>
      <c r="L34" s="6">
        <v>23518</v>
      </c>
      <c r="M34" s="6">
        <v>206205</v>
      </c>
      <c r="N34" t="s">
        <v>21</v>
      </c>
      <c r="O34" t="str">
        <f t="shared" si="1"/>
        <v>Before</v>
      </c>
      <c r="P34" s="7">
        <v>0.21037626768581694</v>
      </c>
    </row>
    <row r="35" spans="1:16">
      <c r="A35" t="s">
        <v>78</v>
      </c>
      <c r="B35" t="s">
        <v>28</v>
      </c>
      <c r="C35" s="5">
        <v>45705</v>
      </c>
      <c r="D35" t="s">
        <v>29</v>
      </c>
      <c r="E35" t="s">
        <v>24</v>
      </c>
      <c r="F35" t="s">
        <v>25</v>
      </c>
      <c r="G35" t="str">
        <f t="shared" si="0"/>
        <v>#MacBookAirM3,#AppleInnovation</v>
      </c>
      <c r="H35" s="6">
        <v>7989</v>
      </c>
      <c r="I35" s="6">
        <v>1206</v>
      </c>
      <c r="J35" s="6">
        <v>376</v>
      </c>
      <c r="K35" s="6">
        <v>2769</v>
      </c>
      <c r="L35" s="6">
        <v>27550</v>
      </c>
      <c r="M35" s="6">
        <v>221749</v>
      </c>
      <c r="N35" t="s">
        <v>32</v>
      </c>
      <c r="O35" t="str">
        <f t="shared" si="1"/>
        <v>Before</v>
      </c>
      <c r="P35" s="7">
        <v>0.2051660977437349</v>
      </c>
    </row>
    <row r="36" spans="1:16">
      <c r="A36" t="s">
        <v>79</v>
      </c>
      <c r="B36" t="s">
        <v>28</v>
      </c>
      <c r="C36" s="5">
        <v>45913</v>
      </c>
      <c r="D36" t="s">
        <v>40</v>
      </c>
      <c r="E36" t="s">
        <v>41</v>
      </c>
      <c r="F36" t="s">
        <v>42</v>
      </c>
      <c r="G36" t="str">
        <f t="shared" si="0"/>
        <v>#AppleMusic,#AppleLifestyle</v>
      </c>
      <c r="H36" s="6">
        <v>17106</v>
      </c>
      <c r="I36" s="6">
        <v>702</v>
      </c>
      <c r="J36" s="6">
        <v>459</v>
      </c>
      <c r="K36" s="6">
        <v>999</v>
      </c>
      <c r="L36" s="6">
        <v>59627</v>
      </c>
      <c r="M36" s="6">
        <v>136059</v>
      </c>
      <c r="N36" t="s">
        <v>26</v>
      </c>
      <c r="O36" t="str">
        <f t="shared" si="1"/>
        <v>Before</v>
      </c>
      <c r="P36" s="7">
        <v>0.20473865723115511</v>
      </c>
    </row>
    <row r="37" spans="1:16">
      <c r="A37" t="s">
        <v>80</v>
      </c>
      <c r="B37" t="s">
        <v>17</v>
      </c>
      <c r="C37" s="5">
        <v>45914</v>
      </c>
      <c r="D37" t="s">
        <v>40</v>
      </c>
      <c r="E37" t="s">
        <v>44</v>
      </c>
      <c r="F37" t="s">
        <v>45</v>
      </c>
      <c r="G37" t="str">
        <f t="shared" si="0"/>
        <v>#AppleWatch,#Health</v>
      </c>
      <c r="H37" s="6">
        <v>19844</v>
      </c>
      <c r="I37" s="6">
        <v>1020</v>
      </c>
      <c r="J37" s="6">
        <v>247</v>
      </c>
      <c r="K37" s="6">
        <v>2354</v>
      </c>
      <c r="L37" s="6">
        <v>37792</v>
      </c>
      <c r="M37" s="6">
        <v>138317</v>
      </c>
      <c r="N37" t="s">
        <v>26</v>
      </c>
      <c r="O37" t="str">
        <f t="shared" si="1"/>
        <v>Before</v>
      </c>
      <c r="P37" s="7">
        <v>0.19921115049436347</v>
      </c>
    </row>
    <row r="38" spans="1:16">
      <c r="A38" t="s">
        <v>81</v>
      </c>
      <c r="B38" t="s">
        <v>17</v>
      </c>
      <c r="C38" s="5">
        <v>45915</v>
      </c>
      <c r="D38" t="s">
        <v>29</v>
      </c>
      <c r="E38" t="s">
        <v>24</v>
      </c>
      <c r="F38" t="s">
        <v>25</v>
      </c>
      <c r="G38" t="str">
        <f t="shared" si="0"/>
        <v>#MacBookAirM3,#AppleInnovation</v>
      </c>
      <c r="H38" s="6">
        <v>5636</v>
      </c>
      <c r="I38" s="6">
        <v>303</v>
      </c>
      <c r="J38" s="6">
        <v>204</v>
      </c>
      <c r="K38" s="6">
        <v>2480</v>
      </c>
      <c r="L38" s="6">
        <v>7377</v>
      </c>
      <c r="M38" s="6">
        <v>241207</v>
      </c>
      <c r="N38" t="s">
        <v>26</v>
      </c>
      <c r="O38" t="str">
        <f t="shared" si="1"/>
        <v>Before</v>
      </c>
      <c r="P38" s="7">
        <v>0.19899909707413599</v>
      </c>
    </row>
    <row r="39" spans="1:16">
      <c r="A39" t="s">
        <v>82</v>
      </c>
      <c r="B39" t="s">
        <v>17</v>
      </c>
      <c r="C39" s="5">
        <v>45721</v>
      </c>
      <c r="D39" t="s">
        <v>40</v>
      </c>
      <c r="E39" t="s">
        <v>35</v>
      </c>
      <c r="F39" t="s">
        <v>58</v>
      </c>
      <c r="G39" t="str">
        <f t="shared" si="0"/>
        <v>#AppleEvent,#iPhone16</v>
      </c>
      <c r="H39" s="6">
        <v>12916</v>
      </c>
      <c r="I39" s="6">
        <v>1262</v>
      </c>
      <c r="J39" s="6">
        <v>772</v>
      </c>
      <c r="K39" s="6">
        <v>856</v>
      </c>
      <c r="L39" s="6">
        <v>11496</v>
      </c>
      <c r="M39" s="6">
        <v>75046</v>
      </c>
      <c r="N39" t="s">
        <v>32</v>
      </c>
      <c r="O39" t="str">
        <f t="shared" si="1"/>
        <v>Before</v>
      </c>
      <c r="P39" s="7">
        <v>0.19881267864788862</v>
      </c>
    </row>
    <row r="40" spans="1:16">
      <c r="A40" t="s">
        <v>83</v>
      </c>
      <c r="B40" t="s">
        <v>23</v>
      </c>
      <c r="C40" s="5">
        <v>45718</v>
      </c>
      <c r="D40" t="s">
        <v>34</v>
      </c>
      <c r="E40" t="s">
        <v>63</v>
      </c>
      <c r="F40" t="s">
        <v>64</v>
      </c>
      <c r="G40" t="str">
        <f t="shared" si="0"/>
        <v>#iPhonePhotography,#ShotOniPhone</v>
      </c>
      <c r="H40" s="6">
        <v>22562</v>
      </c>
      <c r="I40" s="6">
        <v>778</v>
      </c>
      <c r="J40" s="6">
        <v>907</v>
      </c>
      <c r="K40" s="6">
        <v>1354</v>
      </c>
      <c r="L40" s="6">
        <v>34475</v>
      </c>
      <c r="M40" s="6">
        <v>141459</v>
      </c>
      <c r="N40" t="s">
        <v>37</v>
      </c>
      <c r="O40" t="str">
        <f t="shared" si="1"/>
        <v>During</v>
      </c>
      <c r="P40" s="7">
        <v>0.19880365649966678</v>
      </c>
    </row>
    <row r="41" spans="1:16">
      <c r="A41" t="s">
        <v>84</v>
      </c>
      <c r="B41" t="s">
        <v>23</v>
      </c>
      <c r="C41" s="5">
        <v>45917</v>
      </c>
      <c r="D41" t="s">
        <v>29</v>
      </c>
      <c r="E41" t="s">
        <v>41</v>
      </c>
      <c r="F41" t="s">
        <v>42</v>
      </c>
      <c r="G41" t="str">
        <f t="shared" si="0"/>
        <v>#AppleMusic,#AppleLifestyle</v>
      </c>
      <c r="H41" s="6">
        <v>15456</v>
      </c>
      <c r="I41" s="6">
        <v>590</v>
      </c>
      <c r="J41" s="6">
        <v>555</v>
      </c>
      <c r="K41" s="6">
        <v>2882</v>
      </c>
      <c r="L41" s="6">
        <v>49816</v>
      </c>
      <c r="M41" s="6">
        <v>240422</v>
      </c>
      <c r="N41" t="s">
        <v>26</v>
      </c>
      <c r="O41" t="str">
        <f t="shared" si="1"/>
        <v>Before</v>
      </c>
      <c r="P41" s="7">
        <v>0.19849520418126471</v>
      </c>
    </row>
    <row r="42" spans="1:16">
      <c r="A42" t="s">
        <v>85</v>
      </c>
      <c r="B42" t="s">
        <v>23</v>
      </c>
      <c r="C42" s="5">
        <v>45779</v>
      </c>
      <c r="D42" t="s">
        <v>29</v>
      </c>
      <c r="E42" t="s">
        <v>35</v>
      </c>
      <c r="F42" t="s">
        <v>58</v>
      </c>
      <c r="G42" t="str">
        <f t="shared" si="0"/>
        <v>#AppleEvent,#iPhone16</v>
      </c>
      <c r="H42" s="6">
        <v>17444</v>
      </c>
      <c r="I42" s="6">
        <v>1402</v>
      </c>
      <c r="J42" s="6">
        <v>218</v>
      </c>
      <c r="K42" s="6">
        <v>725</v>
      </c>
      <c r="L42" s="6">
        <v>8710</v>
      </c>
      <c r="M42" s="6">
        <v>85893</v>
      </c>
      <c r="N42" t="s">
        <v>53</v>
      </c>
      <c r="O42" t="str">
        <f t="shared" si="1"/>
        <v>Before</v>
      </c>
      <c r="P42" s="7">
        <v>0.19480145184678152</v>
      </c>
    </row>
    <row r="43" spans="1:16">
      <c r="A43" t="s">
        <v>86</v>
      </c>
      <c r="B43" t="s">
        <v>23</v>
      </c>
      <c r="C43" s="5">
        <v>45712</v>
      </c>
      <c r="D43" t="s">
        <v>29</v>
      </c>
      <c r="E43" t="s">
        <v>49</v>
      </c>
      <c r="F43" t="s">
        <v>35</v>
      </c>
      <c r="G43" t="str">
        <f t="shared" si="0"/>
        <v>#iPhone16Launch,#AppleEvent</v>
      </c>
      <c r="H43" s="6">
        <v>24984</v>
      </c>
      <c r="I43" s="6">
        <v>753</v>
      </c>
      <c r="J43" s="6">
        <v>461</v>
      </c>
      <c r="K43" s="6">
        <v>2710</v>
      </c>
      <c r="L43" s="6">
        <v>20792</v>
      </c>
      <c r="M43" s="6">
        <v>141520</v>
      </c>
      <c r="N43" t="s">
        <v>32</v>
      </c>
      <c r="O43" t="str">
        <f t="shared" si="1"/>
        <v>Before</v>
      </c>
      <c r="P43" s="7">
        <v>0.19404507155276179</v>
      </c>
    </row>
    <row r="44" spans="1:16">
      <c r="A44" t="s">
        <v>87</v>
      </c>
      <c r="B44" t="s">
        <v>17</v>
      </c>
      <c r="C44" s="5">
        <v>45727</v>
      </c>
      <c r="D44" t="s">
        <v>40</v>
      </c>
      <c r="E44" t="s">
        <v>19</v>
      </c>
      <c r="F44" t="s">
        <v>20</v>
      </c>
      <c r="G44" t="str">
        <f t="shared" si="0"/>
        <v>#AppleWatchUltra2,#HealthTech</v>
      </c>
      <c r="H44" s="6">
        <v>7997</v>
      </c>
      <c r="I44" s="6">
        <v>1238</v>
      </c>
      <c r="J44" s="6">
        <v>438</v>
      </c>
      <c r="K44" s="6">
        <v>1874</v>
      </c>
      <c r="L44" s="6">
        <v>36272</v>
      </c>
      <c r="M44" s="6">
        <v>165818</v>
      </c>
      <c r="N44" t="s">
        <v>53</v>
      </c>
      <c r="O44" t="str">
        <f t="shared" si="1"/>
        <v>Before</v>
      </c>
      <c r="P44" s="7">
        <v>0.19367079001290127</v>
      </c>
    </row>
    <row r="45" spans="1:16">
      <c r="A45" t="s">
        <v>88</v>
      </c>
      <c r="B45" t="s">
        <v>48</v>
      </c>
      <c r="C45" s="5">
        <v>45918</v>
      </c>
      <c r="D45" t="s">
        <v>40</v>
      </c>
      <c r="E45" t="s">
        <v>35</v>
      </c>
      <c r="F45" t="s">
        <v>58</v>
      </c>
      <c r="G45" t="str">
        <f t="shared" si="0"/>
        <v>#AppleEvent,#iPhone16</v>
      </c>
      <c r="H45" s="6">
        <v>4048</v>
      </c>
      <c r="I45" s="6">
        <v>677</v>
      </c>
      <c r="J45" s="6">
        <v>911</v>
      </c>
      <c r="K45" s="6">
        <v>2429</v>
      </c>
      <c r="L45" s="6">
        <v>27361</v>
      </c>
      <c r="M45" s="6">
        <v>101272</v>
      </c>
      <c r="N45" t="s">
        <v>26</v>
      </c>
      <c r="O45" t="str">
        <f t="shared" si="1"/>
        <v>Before</v>
      </c>
      <c r="P45" s="7">
        <v>0.19362974805667346</v>
      </c>
    </row>
    <row r="46" spans="1:16">
      <c r="A46" t="s">
        <v>89</v>
      </c>
      <c r="B46" t="s">
        <v>48</v>
      </c>
      <c r="C46" s="5">
        <v>45476</v>
      </c>
      <c r="D46" t="s">
        <v>29</v>
      </c>
      <c r="E46" t="s">
        <v>41</v>
      </c>
      <c r="F46" t="s">
        <v>42</v>
      </c>
      <c r="G46" t="str">
        <f t="shared" si="0"/>
        <v>#AppleMusic,#AppleLifestyle</v>
      </c>
      <c r="H46" s="6">
        <v>14338</v>
      </c>
      <c r="I46" s="6">
        <v>1454</v>
      </c>
      <c r="J46" s="6">
        <v>697</v>
      </c>
      <c r="K46" s="6">
        <v>2703</v>
      </c>
      <c r="L46" s="6">
        <v>21288</v>
      </c>
      <c r="M46" s="6">
        <v>107649</v>
      </c>
      <c r="N46" t="s">
        <v>37</v>
      </c>
      <c r="O46" t="str">
        <f t="shared" si="1"/>
        <v>During</v>
      </c>
      <c r="P46" s="7">
        <v>0.19210049402944315</v>
      </c>
    </row>
    <row r="47" spans="1:16">
      <c r="A47" t="s">
        <v>90</v>
      </c>
      <c r="B47" t="s">
        <v>17</v>
      </c>
      <c r="C47" s="5">
        <v>45456</v>
      </c>
      <c r="D47" t="s">
        <v>40</v>
      </c>
      <c r="E47" t="s">
        <v>44</v>
      </c>
      <c r="F47" t="s">
        <v>45</v>
      </c>
      <c r="G47" t="str">
        <f t="shared" si="0"/>
        <v>#AppleWatch,#Health</v>
      </c>
      <c r="H47" s="6">
        <v>23164</v>
      </c>
      <c r="I47" s="6">
        <v>1122</v>
      </c>
      <c r="J47" s="6">
        <v>900</v>
      </c>
      <c r="K47" s="6">
        <v>888</v>
      </c>
      <c r="L47" s="6">
        <v>36938</v>
      </c>
      <c r="M47" s="6">
        <v>104674</v>
      </c>
      <c r="N47" t="s">
        <v>21</v>
      </c>
      <c r="O47" t="str">
        <f t="shared" si="1"/>
        <v>Before</v>
      </c>
      <c r="P47" s="7">
        <v>0.18511871113623515</v>
      </c>
    </row>
    <row r="48" spans="1:16">
      <c r="A48" t="s">
        <v>91</v>
      </c>
      <c r="B48" t="s">
        <v>48</v>
      </c>
      <c r="C48" s="5">
        <v>45919</v>
      </c>
      <c r="D48" t="s">
        <v>18</v>
      </c>
      <c r="E48" t="s">
        <v>44</v>
      </c>
      <c r="F48" t="s">
        <v>45</v>
      </c>
      <c r="G48" t="str">
        <f t="shared" si="0"/>
        <v>#AppleWatch,#Health</v>
      </c>
      <c r="H48" s="6">
        <v>19100</v>
      </c>
      <c r="I48" s="6">
        <v>619</v>
      </c>
      <c r="J48" s="6">
        <v>297</v>
      </c>
      <c r="K48" s="6">
        <v>2312</v>
      </c>
      <c r="L48" s="6">
        <v>9730</v>
      </c>
      <c r="M48" s="6">
        <v>184832</v>
      </c>
      <c r="N48" t="s">
        <v>26</v>
      </c>
      <c r="O48" t="str">
        <f t="shared" si="1"/>
        <v>Before</v>
      </c>
      <c r="P48" s="7">
        <v>0.18484186855282597</v>
      </c>
    </row>
    <row r="49" spans="1:16">
      <c r="A49" t="s">
        <v>92</v>
      </c>
      <c r="B49" t="s">
        <v>17</v>
      </c>
      <c r="C49" s="5">
        <v>45712</v>
      </c>
      <c r="D49" t="s">
        <v>18</v>
      </c>
      <c r="E49" t="s">
        <v>35</v>
      </c>
      <c r="F49" t="s">
        <v>58</v>
      </c>
      <c r="G49" t="str">
        <f t="shared" si="0"/>
        <v>#AppleEvent,#iPhone16</v>
      </c>
      <c r="H49" s="6">
        <v>23949</v>
      </c>
      <c r="I49" s="6">
        <v>356</v>
      </c>
      <c r="J49" s="6">
        <v>616</v>
      </c>
      <c r="K49" s="6">
        <v>1847</v>
      </c>
      <c r="L49" s="6">
        <v>3144</v>
      </c>
      <c r="M49" s="6">
        <v>192999</v>
      </c>
      <c r="N49" t="s">
        <v>37</v>
      </c>
      <c r="O49" t="str">
        <f t="shared" si="1"/>
        <v>During</v>
      </c>
      <c r="P49" s="7">
        <v>0.17717504237983267</v>
      </c>
    </row>
    <row r="50" spans="1:16">
      <c r="A50" t="s">
        <v>93</v>
      </c>
      <c r="B50" t="s">
        <v>23</v>
      </c>
      <c r="C50" s="5">
        <v>45729</v>
      </c>
      <c r="D50" t="s">
        <v>40</v>
      </c>
      <c r="E50" t="s">
        <v>30</v>
      </c>
      <c r="F50" t="s">
        <v>31</v>
      </c>
      <c r="G50" t="str">
        <f t="shared" si="0"/>
        <v>#AppleDesign,#Innovation</v>
      </c>
      <c r="H50" s="6">
        <v>6544</v>
      </c>
      <c r="I50" s="6">
        <v>749</v>
      </c>
      <c r="J50" s="6">
        <v>888</v>
      </c>
      <c r="K50" s="6">
        <v>594</v>
      </c>
      <c r="L50" s="6">
        <v>18171</v>
      </c>
      <c r="M50" s="6">
        <v>126475</v>
      </c>
      <c r="N50" t="s">
        <v>32</v>
      </c>
      <c r="O50" t="str">
        <f t="shared" si="1"/>
        <v>Before</v>
      </c>
      <c r="P50" s="7">
        <v>0.17674852389540743</v>
      </c>
    </row>
    <row r="51" spans="1:16">
      <c r="A51" t="s">
        <v>94</v>
      </c>
      <c r="B51" t="s">
        <v>17</v>
      </c>
      <c r="C51" s="5">
        <v>45460</v>
      </c>
      <c r="D51" t="s">
        <v>40</v>
      </c>
      <c r="E51" t="s">
        <v>19</v>
      </c>
      <c r="F51" t="s">
        <v>20</v>
      </c>
      <c r="G51" t="str">
        <f t="shared" si="0"/>
        <v>#AppleWatchUltra2,#HealthTech</v>
      </c>
      <c r="H51" s="6">
        <v>6976</v>
      </c>
      <c r="I51" s="6">
        <v>1320</v>
      </c>
      <c r="J51" s="6">
        <v>393</v>
      </c>
      <c r="K51" s="6">
        <v>2285</v>
      </c>
      <c r="L51" s="6">
        <v>14049</v>
      </c>
      <c r="M51" s="6">
        <v>101367</v>
      </c>
      <c r="N51" t="s">
        <v>53</v>
      </c>
      <c r="O51" t="str">
        <f t="shared" si="1"/>
        <v>Before</v>
      </c>
      <c r="P51" s="7">
        <v>0.17640683618174238</v>
      </c>
    </row>
    <row r="52" spans="1:16">
      <c r="A52" t="s">
        <v>95</v>
      </c>
      <c r="B52" t="s">
        <v>23</v>
      </c>
      <c r="C52" s="5">
        <v>45644</v>
      </c>
      <c r="D52" t="s">
        <v>29</v>
      </c>
      <c r="E52" t="s">
        <v>49</v>
      </c>
      <c r="F52" t="s">
        <v>35</v>
      </c>
      <c r="G52" t="str">
        <f t="shared" si="0"/>
        <v>#iPhone16Launch,#AppleEvent</v>
      </c>
      <c r="H52" s="6">
        <v>14775</v>
      </c>
      <c r="I52" s="6">
        <v>1220</v>
      </c>
      <c r="J52" s="6">
        <v>640</v>
      </c>
      <c r="K52" s="6">
        <v>1547</v>
      </c>
      <c r="L52" s="6">
        <v>28527</v>
      </c>
      <c r="M52" s="6">
        <v>183660</v>
      </c>
      <c r="N52" t="s">
        <v>53</v>
      </c>
      <c r="O52" t="str">
        <f t="shared" si="1"/>
        <v>Before</v>
      </c>
      <c r="P52" s="7">
        <v>0.17382711311522595</v>
      </c>
    </row>
    <row r="53" spans="1:16">
      <c r="A53" t="s">
        <v>96</v>
      </c>
      <c r="B53" t="s">
        <v>23</v>
      </c>
      <c r="C53" s="5">
        <v>45586</v>
      </c>
      <c r="D53" t="s">
        <v>34</v>
      </c>
      <c r="E53" t="s">
        <v>35</v>
      </c>
      <c r="F53" t="s">
        <v>58</v>
      </c>
      <c r="G53" t="str">
        <f t="shared" si="0"/>
        <v>#AppleEvent,#iPhone16</v>
      </c>
      <c r="H53" s="6">
        <v>12015</v>
      </c>
      <c r="I53" s="6">
        <v>1196</v>
      </c>
      <c r="J53" s="6">
        <v>998</v>
      </c>
      <c r="K53" s="6">
        <v>1848</v>
      </c>
      <c r="L53" s="6">
        <v>44739</v>
      </c>
      <c r="M53" s="6">
        <v>161750</v>
      </c>
      <c r="N53" t="s">
        <v>53</v>
      </c>
      <c r="O53" t="str">
        <f t="shared" si="1"/>
        <v>Before</v>
      </c>
      <c r="P53" s="7">
        <v>0.17280843829895459</v>
      </c>
    </row>
    <row r="54" spans="1:16">
      <c r="A54" t="s">
        <v>97</v>
      </c>
      <c r="B54" t="s">
        <v>28</v>
      </c>
      <c r="C54" s="5">
        <v>45762</v>
      </c>
      <c r="D54" t="s">
        <v>40</v>
      </c>
      <c r="E54" t="s">
        <v>30</v>
      </c>
      <c r="F54" t="s">
        <v>31</v>
      </c>
      <c r="G54" t="str">
        <f t="shared" si="0"/>
        <v>#AppleDesign,#Innovation</v>
      </c>
      <c r="H54" s="6">
        <v>5419</v>
      </c>
      <c r="I54" s="6">
        <v>1150</v>
      </c>
      <c r="J54" s="6">
        <v>656</v>
      </c>
      <c r="K54" s="6">
        <v>1990</v>
      </c>
      <c r="L54" s="6">
        <v>410</v>
      </c>
      <c r="M54" s="6">
        <v>158154</v>
      </c>
      <c r="N54" t="s">
        <v>32</v>
      </c>
      <c r="O54" t="str">
        <f t="shared" si="1"/>
        <v>Before</v>
      </c>
      <c r="P54" s="7">
        <v>0.17140655596321194</v>
      </c>
    </row>
    <row r="55" spans="1:16">
      <c r="A55" t="s">
        <v>98</v>
      </c>
      <c r="B55" t="s">
        <v>17</v>
      </c>
      <c r="C55" s="5">
        <v>45465</v>
      </c>
      <c r="D55" t="s">
        <v>18</v>
      </c>
      <c r="E55" t="s">
        <v>44</v>
      </c>
      <c r="F55" t="s">
        <v>45</v>
      </c>
      <c r="G55" t="str">
        <f t="shared" si="0"/>
        <v>#AppleWatch,#Health</v>
      </c>
      <c r="H55" s="6">
        <v>16430</v>
      </c>
      <c r="I55" s="6">
        <v>488</v>
      </c>
      <c r="J55" s="6">
        <v>514</v>
      </c>
      <c r="K55" s="6">
        <v>1436</v>
      </c>
      <c r="L55" s="6">
        <v>30059</v>
      </c>
      <c r="M55" s="6">
        <v>223305</v>
      </c>
      <c r="N55" t="s">
        <v>37</v>
      </c>
      <c r="O55" t="str">
        <f t="shared" si="1"/>
        <v>During</v>
      </c>
      <c r="P55" s="7">
        <v>0.17093461339861157</v>
      </c>
    </row>
    <row r="56" spans="1:16">
      <c r="A56" t="s">
        <v>99</v>
      </c>
      <c r="B56" t="s">
        <v>28</v>
      </c>
      <c r="C56" s="5">
        <v>45685</v>
      </c>
      <c r="D56" t="s">
        <v>29</v>
      </c>
      <c r="E56" t="s">
        <v>44</v>
      </c>
      <c r="F56" t="s">
        <v>45</v>
      </c>
      <c r="G56" t="str">
        <f t="shared" si="0"/>
        <v>#AppleWatch,#Health</v>
      </c>
      <c r="H56" s="6">
        <v>9239</v>
      </c>
      <c r="I56" s="6">
        <v>1477</v>
      </c>
      <c r="J56" s="6">
        <v>631</v>
      </c>
      <c r="K56" s="6">
        <v>1556</v>
      </c>
      <c r="L56" s="6">
        <v>11580</v>
      </c>
      <c r="M56" s="6">
        <v>84738</v>
      </c>
      <c r="N56" t="s">
        <v>32</v>
      </c>
      <c r="O56" t="str">
        <f t="shared" si="1"/>
        <v>Before</v>
      </c>
      <c r="P56" s="7">
        <v>0.17002885921231325</v>
      </c>
    </row>
    <row r="57" spans="1:16">
      <c r="A57" t="s">
        <v>100</v>
      </c>
      <c r="B57" t="s">
        <v>17</v>
      </c>
      <c r="C57" s="5">
        <v>45920</v>
      </c>
      <c r="D57" t="s">
        <v>18</v>
      </c>
      <c r="E57" t="s">
        <v>35</v>
      </c>
      <c r="F57" t="s">
        <v>58</v>
      </c>
      <c r="G57" t="str">
        <f t="shared" si="0"/>
        <v>#AppleEvent,#iPhone16</v>
      </c>
      <c r="H57" s="6">
        <v>18633</v>
      </c>
      <c r="I57" s="6">
        <v>797</v>
      </c>
      <c r="J57" s="6">
        <v>303</v>
      </c>
      <c r="K57" s="6">
        <v>659</v>
      </c>
      <c r="L57" s="6">
        <v>7</v>
      </c>
      <c r="M57" s="6">
        <v>122189</v>
      </c>
      <c r="N57" t="s">
        <v>26</v>
      </c>
      <c r="O57" t="str">
        <f t="shared" si="1"/>
        <v>Before</v>
      </c>
      <c r="P57" s="7">
        <v>0.1678059982351878</v>
      </c>
    </row>
    <row r="58" spans="1:16">
      <c r="A58" t="s">
        <v>101</v>
      </c>
      <c r="B58" t="s">
        <v>28</v>
      </c>
      <c r="C58" s="5">
        <v>45504</v>
      </c>
      <c r="D58" t="s">
        <v>18</v>
      </c>
      <c r="E58" t="s">
        <v>19</v>
      </c>
      <c r="F58" t="s">
        <v>20</v>
      </c>
      <c r="G58" t="str">
        <f t="shared" si="0"/>
        <v>#AppleWatchUltra2,#HealthTech</v>
      </c>
      <c r="H58" s="6">
        <v>12357</v>
      </c>
      <c r="I58" s="6">
        <v>716</v>
      </c>
      <c r="J58" s="6">
        <v>599</v>
      </c>
      <c r="K58" s="6">
        <v>999</v>
      </c>
      <c r="L58" s="6">
        <v>89591</v>
      </c>
      <c r="M58" s="6">
        <v>116367</v>
      </c>
      <c r="N58" t="s">
        <v>21</v>
      </c>
      <c r="O58" t="str">
        <f t="shared" si="1"/>
        <v>Before</v>
      </c>
      <c r="P58" s="7">
        <v>0.16660214321110009</v>
      </c>
    </row>
    <row r="59" spans="1:16">
      <c r="A59" t="s">
        <v>102</v>
      </c>
      <c r="B59" t="s">
        <v>17</v>
      </c>
      <c r="C59" s="5">
        <v>45744</v>
      </c>
      <c r="D59" t="s">
        <v>29</v>
      </c>
      <c r="E59" t="s">
        <v>19</v>
      </c>
      <c r="F59" t="s">
        <v>20</v>
      </c>
      <c r="G59" t="str">
        <f t="shared" si="0"/>
        <v>#AppleWatchUltra2,#HealthTech</v>
      </c>
      <c r="H59" s="6">
        <v>6363</v>
      </c>
      <c r="I59" s="6">
        <v>1341</v>
      </c>
      <c r="J59" s="6">
        <v>222</v>
      </c>
      <c r="K59" s="6">
        <v>2712</v>
      </c>
      <c r="L59" s="6">
        <v>19987</v>
      </c>
      <c r="M59" s="6">
        <v>160585</v>
      </c>
      <c r="N59" t="s">
        <v>32</v>
      </c>
      <c r="O59" t="str">
        <f t="shared" si="1"/>
        <v>Before</v>
      </c>
      <c r="P59" s="7">
        <v>0.16575751061428495</v>
      </c>
    </row>
    <row r="60" spans="1:16">
      <c r="A60" t="s">
        <v>103</v>
      </c>
      <c r="B60" t="s">
        <v>48</v>
      </c>
      <c r="C60" s="5">
        <v>45499</v>
      </c>
      <c r="D60" t="s">
        <v>29</v>
      </c>
      <c r="E60" t="s">
        <v>44</v>
      </c>
      <c r="F60" t="s">
        <v>45</v>
      </c>
      <c r="G60" t="str">
        <f t="shared" si="0"/>
        <v>#AppleWatch,#Health</v>
      </c>
      <c r="H60" s="6">
        <v>12176</v>
      </c>
      <c r="I60" s="6">
        <v>1005</v>
      </c>
      <c r="J60" s="6">
        <v>862</v>
      </c>
      <c r="K60" s="6">
        <v>974</v>
      </c>
      <c r="L60" s="6">
        <v>2285</v>
      </c>
      <c r="M60" s="6">
        <v>116619</v>
      </c>
      <c r="N60" t="s">
        <v>37</v>
      </c>
      <c r="O60" t="str">
        <f t="shared" si="1"/>
        <v>During</v>
      </c>
      <c r="P60" s="7">
        <v>0.16521228822208614</v>
      </c>
    </row>
    <row r="61" spans="1:16">
      <c r="A61" t="s">
        <v>104</v>
      </c>
      <c r="B61" t="s">
        <v>23</v>
      </c>
      <c r="C61" s="5">
        <v>45745</v>
      </c>
      <c r="D61" t="s">
        <v>34</v>
      </c>
      <c r="E61" t="s">
        <v>44</v>
      </c>
      <c r="F61" t="s">
        <v>45</v>
      </c>
      <c r="G61" t="str">
        <f t="shared" si="0"/>
        <v>#AppleWatch,#Health</v>
      </c>
      <c r="H61" s="6">
        <v>19461</v>
      </c>
      <c r="I61" s="6">
        <v>1382</v>
      </c>
      <c r="J61" s="6">
        <v>445</v>
      </c>
      <c r="K61" s="6">
        <v>1307</v>
      </c>
      <c r="L61" s="6">
        <v>84691</v>
      </c>
      <c r="M61" s="6">
        <v>151453</v>
      </c>
      <c r="N61" t="s">
        <v>37</v>
      </c>
      <c r="O61" t="str">
        <f t="shared" si="1"/>
        <v>During</v>
      </c>
      <c r="P61" s="7">
        <v>0.16153586527871533</v>
      </c>
    </row>
    <row r="62" spans="1:16">
      <c r="A62" t="s">
        <v>105</v>
      </c>
      <c r="B62" t="s">
        <v>28</v>
      </c>
      <c r="C62" s="5">
        <v>45634</v>
      </c>
      <c r="D62" t="s">
        <v>34</v>
      </c>
      <c r="E62" t="s">
        <v>24</v>
      </c>
      <c r="F62" t="s">
        <v>25</v>
      </c>
      <c r="G62" t="str">
        <f t="shared" si="0"/>
        <v>#MacBookAirM3,#AppleInnovation</v>
      </c>
      <c r="H62" s="6">
        <v>10427</v>
      </c>
      <c r="I62" s="6">
        <v>1014</v>
      </c>
      <c r="J62" s="6">
        <v>166</v>
      </c>
      <c r="K62" s="6">
        <v>1649</v>
      </c>
      <c r="L62" s="6">
        <v>15145</v>
      </c>
      <c r="M62" s="6">
        <v>59816</v>
      </c>
      <c r="N62" t="s">
        <v>32</v>
      </c>
      <c r="O62" t="str">
        <f t="shared" si="1"/>
        <v>Before</v>
      </c>
      <c r="P62" s="7">
        <v>0.16149571565361859</v>
      </c>
    </row>
    <row r="63" spans="1:16">
      <c r="A63" t="s">
        <v>106</v>
      </c>
      <c r="B63" t="s">
        <v>23</v>
      </c>
      <c r="C63" s="5">
        <v>45724</v>
      </c>
      <c r="D63" t="s">
        <v>29</v>
      </c>
      <c r="E63" t="s">
        <v>44</v>
      </c>
      <c r="F63" t="s">
        <v>45</v>
      </c>
      <c r="G63" t="str">
        <f t="shared" si="0"/>
        <v>#AppleWatch,#Health</v>
      </c>
      <c r="H63" s="6">
        <v>10580</v>
      </c>
      <c r="I63" s="6">
        <v>427</v>
      </c>
      <c r="J63" s="6">
        <v>790</v>
      </c>
      <c r="K63" s="6">
        <v>2814</v>
      </c>
      <c r="L63" s="6">
        <v>24916</v>
      </c>
      <c r="M63" s="6">
        <v>213312</v>
      </c>
      <c r="N63" t="s">
        <v>53</v>
      </c>
      <c r="O63" t="str">
        <f t="shared" si="1"/>
        <v>Before</v>
      </c>
      <c r="P63" s="7">
        <v>0.15781817689762725</v>
      </c>
    </row>
    <row r="64" spans="1:16">
      <c r="A64" t="s">
        <v>107</v>
      </c>
      <c r="B64" t="s">
        <v>48</v>
      </c>
      <c r="C64" s="5">
        <v>45749</v>
      </c>
      <c r="D64" t="s">
        <v>29</v>
      </c>
      <c r="E64" t="s">
        <v>49</v>
      </c>
      <c r="F64" t="s">
        <v>35</v>
      </c>
      <c r="G64" t="str">
        <f t="shared" si="0"/>
        <v>#iPhone16Launch,#AppleEvent</v>
      </c>
      <c r="H64" s="6">
        <v>6858</v>
      </c>
      <c r="I64" s="6">
        <v>415</v>
      </c>
      <c r="J64" s="6">
        <v>366</v>
      </c>
      <c r="K64" s="6">
        <v>2761</v>
      </c>
      <c r="L64" s="6">
        <v>2988</v>
      </c>
      <c r="M64" s="6">
        <v>177348</v>
      </c>
      <c r="N64" t="s">
        <v>21</v>
      </c>
      <c r="O64" t="str">
        <f t="shared" si="1"/>
        <v>Before</v>
      </c>
      <c r="P64" s="7">
        <v>0.1531737405828201</v>
      </c>
    </row>
    <row r="65" spans="1:16">
      <c r="A65" t="s">
        <v>108</v>
      </c>
      <c r="B65" t="s">
        <v>48</v>
      </c>
      <c r="C65" s="5">
        <v>45537</v>
      </c>
      <c r="D65" t="s">
        <v>40</v>
      </c>
      <c r="E65" t="s">
        <v>35</v>
      </c>
      <c r="F65" t="s">
        <v>36</v>
      </c>
      <c r="G65" t="str">
        <f t="shared" si="0"/>
        <v>#AppleEvent,#iPadPro</v>
      </c>
      <c r="H65" s="6">
        <v>12040</v>
      </c>
      <c r="I65" s="6">
        <v>1147</v>
      </c>
      <c r="J65" s="6">
        <v>210</v>
      </c>
      <c r="K65" s="6">
        <v>885</v>
      </c>
      <c r="L65" s="6">
        <v>30360</v>
      </c>
      <c r="M65" s="6">
        <v>119530</v>
      </c>
      <c r="N65" t="s">
        <v>37</v>
      </c>
      <c r="O65" t="str">
        <f t="shared" si="1"/>
        <v>During</v>
      </c>
      <c r="P65" s="7">
        <v>0.1529462222116324</v>
      </c>
    </row>
    <row r="66" spans="1:16">
      <c r="A66" t="s">
        <v>109</v>
      </c>
      <c r="B66" t="s">
        <v>48</v>
      </c>
      <c r="C66" s="5">
        <v>45719</v>
      </c>
      <c r="D66" t="s">
        <v>40</v>
      </c>
      <c r="E66" t="s">
        <v>35</v>
      </c>
      <c r="F66" t="s">
        <v>58</v>
      </c>
      <c r="G66" t="str">
        <f t="shared" ref="G66:G129" si="2">E66 &amp; "," &amp; F66</f>
        <v>#AppleEvent,#iPhone16</v>
      </c>
      <c r="H66" s="6">
        <v>24928</v>
      </c>
      <c r="I66" s="6">
        <v>214</v>
      </c>
      <c r="J66" s="6">
        <v>765</v>
      </c>
      <c r="K66" s="6">
        <v>1556</v>
      </c>
      <c r="L66" s="6">
        <v>5239</v>
      </c>
      <c r="M66" s="6">
        <v>194571</v>
      </c>
      <c r="N66" t="s">
        <v>53</v>
      </c>
      <c r="O66" t="str">
        <f t="shared" ref="O66:O129" si="3">IF(ISNUMBER(SEARCH("iPhone 16",N66)),"During","Before")</f>
        <v>Before</v>
      </c>
      <c r="P66" s="7">
        <v>0.15262765965138053</v>
      </c>
    </row>
    <row r="67" spans="1:16">
      <c r="A67" t="s">
        <v>110</v>
      </c>
      <c r="B67" t="s">
        <v>28</v>
      </c>
      <c r="C67" s="5">
        <v>45921</v>
      </c>
      <c r="D67" t="s">
        <v>34</v>
      </c>
      <c r="E67" t="s">
        <v>19</v>
      </c>
      <c r="F67" t="s">
        <v>20</v>
      </c>
      <c r="G67" t="str">
        <f t="shared" si="2"/>
        <v>#AppleWatchUltra2,#HealthTech</v>
      </c>
      <c r="H67" s="6">
        <v>23103</v>
      </c>
      <c r="I67" s="6">
        <v>1380</v>
      </c>
      <c r="J67" s="6">
        <v>191</v>
      </c>
      <c r="K67" s="6">
        <v>1547</v>
      </c>
      <c r="L67" s="6">
        <v>77798</v>
      </c>
      <c r="M67" s="6">
        <v>148856</v>
      </c>
      <c r="N67" t="s">
        <v>26</v>
      </c>
      <c r="O67" t="str">
        <f t="shared" si="3"/>
        <v>Before</v>
      </c>
      <c r="P67" s="7">
        <v>0.14992017142136885</v>
      </c>
    </row>
    <row r="68" spans="1:16">
      <c r="A68" t="s">
        <v>111</v>
      </c>
      <c r="B68" t="s">
        <v>48</v>
      </c>
      <c r="C68" s="5">
        <v>45593</v>
      </c>
      <c r="D68" t="s">
        <v>40</v>
      </c>
      <c r="E68" t="s">
        <v>35</v>
      </c>
      <c r="F68" t="s">
        <v>36</v>
      </c>
      <c r="G68" t="str">
        <f t="shared" si="2"/>
        <v>#AppleEvent,#iPadPro</v>
      </c>
      <c r="H68" s="6">
        <v>21198</v>
      </c>
      <c r="I68" s="6">
        <v>1484</v>
      </c>
      <c r="J68" s="6">
        <v>174</v>
      </c>
      <c r="K68" s="6">
        <v>1293</v>
      </c>
      <c r="L68" s="6">
        <v>16330</v>
      </c>
      <c r="M68" s="6">
        <v>111635</v>
      </c>
      <c r="N68" t="s">
        <v>37</v>
      </c>
      <c r="O68" t="str">
        <f t="shared" si="3"/>
        <v>During</v>
      </c>
      <c r="P68" s="7">
        <v>0.14930001228048631</v>
      </c>
    </row>
    <row r="69" spans="1:16">
      <c r="A69" t="s">
        <v>112</v>
      </c>
      <c r="B69" t="s">
        <v>28</v>
      </c>
      <c r="C69" s="5">
        <v>45505</v>
      </c>
      <c r="D69" t="s">
        <v>18</v>
      </c>
      <c r="E69" t="s">
        <v>30</v>
      </c>
      <c r="F69" t="s">
        <v>31</v>
      </c>
      <c r="G69" t="str">
        <f t="shared" si="2"/>
        <v>#AppleDesign,#Innovation</v>
      </c>
      <c r="H69" s="6">
        <v>21758</v>
      </c>
      <c r="I69" s="6">
        <v>1380</v>
      </c>
      <c r="J69" s="6">
        <v>188</v>
      </c>
      <c r="K69" s="6">
        <v>1735</v>
      </c>
      <c r="L69" s="6">
        <v>20998</v>
      </c>
      <c r="M69" s="6">
        <v>147803</v>
      </c>
      <c r="N69" t="s">
        <v>53</v>
      </c>
      <c r="O69" t="str">
        <f t="shared" si="3"/>
        <v>Before</v>
      </c>
      <c r="P69" s="7">
        <v>0.14860020216860359</v>
      </c>
    </row>
    <row r="70" spans="1:16">
      <c r="A70" t="s">
        <v>113</v>
      </c>
      <c r="B70" t="s">
        <v>23</v>
      </c>
      <c r="C70" s="5">
        <v>45720</v>
      </c>
      <c r="D70" t="s">
        <v>40</v>
      </c>
      <c r="E70" t="s">
        <v>49</v>
      </c>
      <c r="F70" t="s">
        <v>35</v>
      </c>
      <c r="G70" t="str">
        <f t="shared" si="2"/>
        <v>#iPhone16Launch,#AppleEvent</v>
      </c>
      <c r="H70" s="6">
        <v>13470</v>
      </c>
      <c r="I70" s="6">
        <v>523</v>
      </c>
      <c r="J70" s="6">
        <v>280</v>
      </c>
      <c r="K70" s="6">
        <v>2682</v>
      </c>
      <c r="L70" s="6">
        <v>8538</v>
      </c>
      <c r="M70" s="6">
        <v>95204</v>
      </c>
      <c r="N70" t="s">
        <v>21</v>
      </c>
      <c r="O70" t="str">
        <f t="shared" si="3"/>
        <v>Before</v>
      </c>
      <c r="P70" s="7">
        <v>0.14827287209372669</v>
      </c>
    </row>
    <row r="71" spans="1:16">
      <c r="A71" t="s">
        <v>114</v>
      </c>
      <c r="B71" t="s">
        <v>23</v>
      </c>
      <c r="C71" s="5">
        <v>45460</v>
      </c>
      <c r="D71" t="s">
        <v>18</v>
      </c>
      <c r="E71" t="s">
        <v>41</v>
      </c>
      <c r="F71" t="s">
        <v>42</v>
      </c>
      <c r="G71" t="str">
        <f t="shared" si="2"/>
        <v>#AppleMusic,#AppleLifestyle</v>
      </c>
      <c r="H71" s="6">
        <v>3252</v>
      </c>
      <c r="I71" s="6">
        <v>1043</v>
      </c>
      <c r="J71" s="6">
        <v>647</v>
      </c>
      <c r="K71" s="6">
        <v>1545</v>
      </c>
      <c r="L71" s="6">
        <v>18859</v>
      </c>
      <c r="M71" s="6">
        <v>222958</v>
      </c>
      <c r="N71" t="s">
        <v>21</v>
      </c>
      <c r="O71" t="str">
        <f t="shared" si="3"/>
        <v>Before</v>
      </c>
      <c r="P71" s="7">
        <v>0.1468281263867933</v>
      </c>
    </row>
    <row r="72" spans="1:16">
      <c r="A72" t="s">
        <v>115</v>
      </c>
      <c r="B72" t="s">
        <v>17</v>
      </c>
      <c r="C72" s="5">
        <v>45922</v>
      </c>
      <c r="D72" t="s">
        <v>34</v>
      </c>
      <c r="E72" t="s">
        <v>116</v>
      </c>
      <c r="F72" t="s">
        <v>117</v>
      </c>
      <c r="G72" t="str">
        <f t="shared" si="2"/>
        <v>#Sustainability,#AppleEarth</v>
      </c>
      <c r="H72" s="6">
        <v>8996</v>
      </c>
      <c r="I72" s="6">
        <v>329</v>
      </c>
      <c r="J72" s="6">
        <v>378</v>
      </c>
      <c r="K72" s="6">
        <v>2384</v>
      </c>
      <c r="L72" s="6">
        <v>39404</v>
      </c>
      <c r="M72" s="6">
        <v>242724</v>
      </c>
      <c r="N72" t="s">
        <v>26</v>
      </c>
      <c r="O72" t="str">
        <f t="shared" si="3"/>
        <v>Before</v>
      </c>
      <c r="P72" s="7">
        <v>0.14677291642097814</v>
      </c>
    </row>
    <row r="73" spans="1:16">
      <c r="A73" t="s">
        <v>118</v>
      </c>
      <c r="B73" t="s">
        <v>23</v>
      </c>
      <c r="C73" s="5">
        <v>45456</v>
      </c>
      <c r="D73" t="s">
        <v>18</v>
      </c>
      <c r="E73" t="s">
        <v>19</v>
      </c>
      <c r="F73" t="s">
        <v>20</v>
      </c>
      <c r="G73" t="str">
        <f t="shared" si="2"/>
        <v>#AppleWatchUltra2,#HealthTech</v>
      </c>
      <c r="H73" s="6">
        <v>14173</v>
      </c>
      <c r="I73" s="6">
        <v>294</v>
      </c>
      <c r="J73" s="6">
        <v>257</v>
      </c>
      <c r="K73" s="6">
        <v>1288</v>
      </c>
      <c r="L73" s="6">
        <v>39466</v>
      </c>
      <c r="M73" s="6">
        <v>55563</v>
      </c>
      <c r="N73" t="s">
        <v>53</v>
      </c>
      <c r="O73" t="str">
        <f t="shared" si="3"/>
        <v>Before</v>
      </c>
      <c r="P73" s="7">
        <v>0.14587632297144379</v>
      </c>
    </row>
    <row r="74" spans="1:16">
      <c r="A74" t="s">
        <v>119</v>
      </c>
      <c r="B74" t="s">
        <v>17</v>
      </c>
      <c r="C74" s="5">
        <v>45584</v>
      </c>
      <c r="D74" t="s">
        <v>40</v>
      </c>
      <c r="E74" t="s">
        <v>35</v>
      </c>
      <c r="F74" t="s">
        <v>36</v>
      </c>
      <c r="G74" t="str">
        <f t="shared" si="2"/>
        <v>#AppleEvent,#iPadPro</v>
      </c>
      <c r="H74" s="6">
        <v>6673</v>
      </c>
      <c r="I74" s="6">
        <v>826</v>
      </c>
      <c r="J74" s="6">
        <v>321</v>
      </c>
      <c r="K74" s="6">
        <v>577</v>
      </c>
      <c r="L74" s="6">
        <v>19262</v>
      </c>
      <c r="M74" s="6">
        <v>132324</v>
      </c>
      <c r="N74" t="s">
        <v>53</v>
      </c>
      <c r="O74" t="str">
        <f t="shared" si="3"/>
        <v>Before</v>
      </c>
      <c r="P74" s="7">
        <v>0.14571454356012437</v>
      </c>
    </row>
    <row r="75" spans="1:16">
      <c r="A75" t="s">
        <v>120</v>
      </c>
      <c r="B75" t="s">
        <v>23</v>
      </c>
      <c r="C75" s="5">
        <v>45497</v>
      </c>
      <c r="D75" t="s">
        <v>34</v>
      </c>
      <c r="E75" t="s">
        <v>41</v>
      </c>
      <c r="F75" t="s">
        <v>42</v>
      </c>
      <c r="G75" t="str">
        <f t="shared" si="2"/>
        <v>#AppleMusic,#AppleLifestyle</v>
      </c>
      <c r="H75" s="6">
        <v>22914</v>
      </c>
      <c r="I75" s="6">
        <v>954</v>
      </c>
      <c r="J75" s="6">
        <v>584</v>
      </c>
      <c r="K75" s="6">
        <v>1519</v>
      </c>
      <c r="L75" s="6">
        <v>13637</v>
      </c>
      <c r="M75" s="6">
        <v>49847</v>
      </c>
      <c r="N75" t="s">
        <v>21</v>
      </c>
      <c r="O75" t="str">
        <f t="shared" si="3"/>
        <v>Before</v>
      </c>
      <c r="P75" s="7">
        <v>0.14479998278496267</v>
      </c>
    </row>
    <row r="76" spans="1:16">
      <c r="A76" t="s">
        <v>121</v>
      </c>
      <c r="B76" t="s">
        <v>23</v>
      </c>
      <c r="C76" s="5">
        <v>45635</v>
      </c>
      <c r="D76" t="s">
        <v>18</v>
      </c>
      <c r="E76" t="s">
        <v>24</v>
      </c>
      <c r="F76" t="s">
        <v>25</v>
      </c>
      <c r="G76" t="str">
        <f t="shared" si="2"/>
        <v>#MacBookAirM3,#AppleInnovation</v>
      </c>
      <c r="H76" s="6">
        <v>15051</v>
      </c>
      <c r="I76" s="6">
        <v>268</v>
      </c>
      <c r="J76" s="6">
        <v>251</v>
      </c>
      <c r="K76" s="6">
        <v>783</v>
      </c>
      <c r="L76" s="6">
        <v>34154</v>
      </c>
      <c r="M76" s="6">
        <v>119671</v>
      </c>
      <c r="N76" t="s">
        <v>37</v>
      </c>
      <c r="O76" t="str">
        <f t="shared" si="3"/>
        <v>During</v>
      </c>
      <c r="P76" s="7">
        <v>0.14055845707909384</v>
      </c>
    </row>
    <row r="77" spans="1:16">
      <c r="A77" t="s">
        <v>122</v>
      </c>
      <c r="B77" t="s">
        <v>17</v>
      </c>
      <c r="C77" s="5">
        <v>45766</v>
      </c>
      <c r="D77" t="s">
        <v>18</v>
      </c>
      <c r="E77" t="s">
        <v>41</v>
      </c>
      <c r="F77" t="s">
        <v>42</v>
      </c>
      <c r="G77" t="str">
        <f t="shared" si="2"/>
        <v>#AppleMusic,#AppleLifestyle</v>
      </c>
      <c r="H77" s="6">
        <v>8881</v>
      </c>
      <c r="I77" s="6">
        <v>210</v>
      </c>
      <c r="J77" s="6">
        <v>673</v>
      </c>
      <c r="K77" s="6">
        <v>1565</v>
      </c>
      <c r="L77" s="6">
        <v>24847</v>
      </c>
      <c r="M77" s="6">
        <v>156891</v>
      </c>
      <c r="N77" t="s">
        <v>32</v>
      </c>
      <c r="O77" t="str">
        <f t="shared" si="3"/>
        <v>Before</v>
      </c>
      <c r="P77" s="7">
        <v>0.13818052950991538</v>
      </c>
    </row>
    <row r="78" spans="1:16">
      <c r="A78" t="s">
        <v>123</v>
      </c>
      <c r="B78" t="s">
        <v>17</v>
      </c>
      <c r="C78" s="5">
        <v>45684</v>
      </c>
      <c r="D78" t="s">
        <v>40</v>
      </c>
      <c r="E78" t="s">
        <v>49</v>
      </c>
      <c r="F78" t="s">
        <v>35</v>
      </c>
      <c r="G78" t="str">
        <f t="shared" si="2"/>
        <v>#iPhone16Launch,#AppleEvent</v>
      </c>
      <c r="H78" s="6">
        <v>8949</v>
      </c>
      <c r="I78" s="6">
        <v>1477</v>
      </c>
      <c r="J78" s="6">
        <v>424</v>
      </c>
      <c r="K78" s="6">
        <v>1030</v>
      </c>
      <c r="L78" s="6">
        <v>58052</v>
      </c>
      <c r="M78" s="6">
        <v>123310</v>
      </c>
      <c r="N78" t="s">
        <v>21</v>
      </c>
      <c r="O78" t="str">
        <f t="shared" si="3"/>
        <v>Before</v>
      </c>
      <c r="P78" s="7">
        <v>0.13539638025499209</v>
      </c>
    </row>
    <row r="79" spans="1:16">
      <c r="A79" t="s">
        <v>124</v>
      </c>
      <c r="B79" t="s">
        <v>48</v>
      </c>
      <c r="C79" s="5">
        <v>45449</v>
      </c>
      <c r="D79" t="s">
        <v>29</v>
      </c>
      <c r="E79" t="s">
        <v>49</v>
      </c>
      <c r="F79" t="s">
        <v>35</v>
      </c>
      <c r="G79" t="str">
        <f t="shared" si="2"/>
        <v>#iPhone16Launch,#AppleEvent</v>
      </c>
      <c r="H79" s="6">
        <v>11521</v>
      </c>
      <c r="I79" s="6">
        <v>1071</v>
      </c>
      <c r="J79" s="6">
        <v>762</v>
      </c>
      <c r="K79" s="6">
        <v>2539</v>
      </c>
      <c r="L79" s="6">
        <v>12701</v>
      </c>
      <c r="M79" s="6">
        <v>238350</v>
      </c>
      <c r="N79" t="s">
        <v>32</v>
      </c>
      <c r="O79" t="str">
        <f t="shared" si="3"/>
        <v>Before</v>
      </c>
      <c r="P79" s="7">
        <v>0.13500298340382616</v>
      </c>
    </row>
    <row r="80" spans="1:16">
      <c r="A80" t="s">
        <v>125</v>
      </c>
      <c r="B80" t="s">
        <v>28</v>
      </c>
      <c r="C80" s="5">
        <v>45480</v>
      </c>
      <c r="D80" t="s">
        <v>29</v>
      </c>
      <c r="E80" t="s">
        <v>24</v>
      </c>
      <c r="F80" t="s">
        <v>25</v>
      </c>
      <c r="G80" t="str">
        <f t="shared" si="2"/>
        <v>#MacBookAirM3,#AppleInnovation</v>
      </c>
      <c r="H80" s="6">
        <v>24625</v>
      </c>
      <c r="I80" s="6">
        <v>749</v>
      </c>
      <c r="J80" s="6">
        <v>193</v>
      </c>
      <c r="K80" s="6">
        <v>1340</v>
      </c>
      <c r="L80" s="6">
        <v>4890</v>
      </c>
      <c r="M80" s="6">
        <v>189381</v>
      </c>
      <c r="N80" t="s">
        <v>21</v>
      </c>
      <c r="O80" t="str">
        <f t="shared" si="3"/>
        <v>Before</v>
      </c>
      <c r="P80" s="7">
        <v>0.13425793222058077</v>
      </c>
    </row>
    <row r="81" spans="1:16">
      <c r="A81" t="s">
        <v>126</v>
      </c>
      <c r="B81" t="s">
        <v>23</v>
      </c>
      <c r="C81" s="5">
        <v>45923</v>
      </c>
      <c r="D81" t="s">
        <v>18</v>
      </c>
      <c r="E81" t="s">
        <v>116</v>
      </c>
      <c r="F81" t="s">
        <v>117</v>
      </c>
      <c r="G81" t="str">
        <f t="shared" si="2"/>
        <v>#Sustainability,#AppleEarth</v>
      </c>
      <c r="H81" s="6">
        <v>10017</v>
      </c>
      <c r="I81" s="6">
        <v>1357</v>
      </c>
      <c r="J81" s="6">
        <v>966</v>
      </c>
      <c r="K81" s="6">
        <v>2871</v>
      </c>
      <c r="L81" s="6">
        <v>14800</v>
      </c>
      <c r="M81" s="6">
        <v>171691</v>
      </c>
      <c r="N81" t="s">
        <v>26</v>
      </c>
      <c r="O81" t="str">
        <f t="shared" si="3"/>
        <v>Before</v>
      </c>
      <c r="P81" s="7">
        <v>0.13410224480418728</v>
      </c>
    </row>
    <row r="82" spans="1:16">
      <c r="A82" t="s">
        <v>127</v>
      </c>
      <c r="B82" t="s">
        <v>48</v>
      </c>
      <c r="C82" s="5">
        <v>45446</v>
      </c>
      <c r="D82" t="s">
        <v>18</v>
      </c>
      <c r="E82" t="s">
        <v>35</v>
      </c>
      <c r="F82" t="s">
        <v>58</v>
      </c>
      <c r="G82" t="str">
        <f t="shared" si="2"/>
        <v>#AppleEvent,#iPhone16</v>
      </c>
      <c r="H82" s="6">
        <v>8941</v>
      </c>
      <c r="I82" s="6">
        <v>911</v>
      </c>
      <c r="J82" s="6">
        <v>166</v>
      </c>
      <c r="K82" s="6">
        <v>1217</v>
      </c>
      <c r="L82" s="6">
        <v>68817</v>
      </c>
      <c r="M82" s="6">
        <v>221180</v>
      </c>
      <c r="N82" t="s">
        <v>53</v>
      </c>
      <c r="O82" t="str">
        <f t="shared" si="3"/>
        <v>Before</v>
      </c>
      <c r="P82" s="7">
        <v>0.13390686586891359</v>
      </c>
    </row>
    <row r="83" spans="1:16">
      <c r="A83" t="s">
        <v>128</v>
      </c>
      <c r="B83" t="s">
        <v>23</v>
      </c>
      <c r="C83" s="5">
        <v>45924</v>
      </c>
      <c r="D83" t="s">
        <v>29</v>
      </c>
      <c r="E83" t="s">
        <v>41</v>
      </c>
      <c r="F83" t="s">
        <v>42</v>
      </c>
      <c r="G83" t="str">
        <f t="shared" si="2"/>
        <v>#AppleMusic,#AppleLifestyle</v>
      </c>
      <c r="H83" s="6">
        <v>12209</v>
      </c>
      <c r="I83" s="6">
        <v>222</v>
      </c>
      <c r="J83" s="6">
        <v>479</v>
      </c>
      <c r="K83" s="6">
        <v>2748</v>
      </c>
      <c r="L83" s="6">
        <v>24615</v>
      </c>
      <c r="M83" s="6">
        <v>74707</v>
      </c>
      <c r="N83" t="s">
        <v>26</v>
      </c>
      <c r="O83" t="str">
        <f t="shared" si="3"/>
        <v>Before</v>
      </c>
      <c r="P83" s="7">
        <v>0.13333212380710477</v>
      </c>
    </row>
    <row r="84" spans="1:16">
      <c r="A84" t="s">
        <v>129</v>
      </c>
      <c r="B84" t="s">
        <v>23</v>
      </c>
      <c r="C84" s="5">
        <v>45586</v>
      </c>
      <c r="D84" t="s">
        <v>29</v>
      </c>
      <c r="E84" t="s">
        <v>24</v>
      </c>
      <c r="F84" t="s">
        <v>25</v>
      </c>
      <c r="G84" t="str">
        <f t="shared" si="2"/>
        <v>#MacBookAirM3,#AppleInnovation</v>
      </c>
      <c r="H84" s="6">
        <v>19715</v>
      </c>
      <c r="I84" s="6">
        <v>1014</v>
      </c>
      <c r="J84" s="6">
        <v>718</v>
      </c>
      <c r="K84" s="6">
        <v>1185</v>
      </c>
      <c r="L84" s="6">
        <v>37625</v>
      </c>
      <c r="M84" s="6">
        <v>191409</v>
      </c>
      <c r="N84" t="s">
        <v>21</v>
      </c>
      <c r="O84" t="str">
        <f t="shared" si="3"/>
        <v>Before</v>
      </c>
      <c r="P84" s="7">
        <v>0.13314933880177415</v>
      </c>
    </row>
    <row r="85" spans="1:16">
      <c r="A85" t="s">
        <v>130</v>
      </c>
      <c r="B85" t="s">
        <v>48</v>
      </c>
      <c r="C85" s="5">
        <v>45637</v>
      </c>
      <c r="D85" t="s">
        <v>40</v>
      </c>
      <c r="E85" t="s">
        <v>49</v>
      </c>
      <c r="F85" t="s">
        <v>35</v>
      </c>
      <c r="G85" t="str">
        <f t="shared" si="2"/>
        <v>#iPhone16Launch,#AppleEvent</v>
      </c>
      <c r="H85" s="6">
        <v>22645</v>
      </c>
      <c r="I85" s="6">
        <v>545</v>
      </c>
      <c r="J85" s="6">
        <v>972</v>
      </c>
      <c r="K85" s="6">
        <v>321</v>
      </c>
      <c r="L85" s="6">
        <v>8396</v>
      </c>
      <c r="M85" s="6">
        <v>121537</v>
      </c>
      <c r="N85" t="s">
        <v>53</v>
      </c>
      <c r="O85" t="str">
        <f t="shared" si="3"/>
        <v>Before</v>
      </c>
      <c r="P85" s="7">
        <v>0.13251138343289942</v>
      </c>
    </row>
    <row r="86" spans="1:16">
      <c r="A86" t="s">
        <v>131</v>
      </c>
      <c r="B86" t="s">
        <v>48</v>
      </c>
      <c r="C86" s="5">
        <v>45603</v>
      </c>
      <c r="D86" t="s">
        <v>40</v>
      </c>
      <c r="E86" t="s">
        <v>49</v>
      </c>
      <c r="F86" t="s">
        <v>35</v>
      </c>
      <c r="G86" t="str">
        <f t="shared" si="2"/>
        <v>#iPhone16Launch,#AppleEvent</v>
      </c>
      <c r="H86" s="6">
        <v>11550</v>
      </c>
      <c r="I86" s="6">
        <v>501</v>
      </c>
      <c r="J86" s="6">
        <v>646</v>
      </c>
      <c r="K86" s="6">
        <v>773</v>
      </c>
      <c r="L86" s="6">
        <v>17841</v>
      </c>
      <c r="M86" s="6">
        <v>237576</v>
      </c>
      <c r="N86" t="s">
        <v>37</v>
      </c>
      <c r="O86" t="str">
        <f t="shared" si="3"/>
        <v>During</v>
      </c>
      <c r="P86" s="7">
        <v>0.13185997546086614</v>
      </c>
    </row>
    <row r="87" spans="1:16">
      <c r="A87" t="s">
        <v>132</v>
      </c>
      <c r="B87" t="s">
        <v>48</v>
      </c>
      <c r="C87" s="5">
        <v>45604</v>
      </c>
      <c r="D87" t="s">
        <v>29</v>
      </c>
      <c r="E87" t="s">
        <v>35</v>
      </c>
      <c r="F87" t="s">
        <v>36</v>
      </c>
      <c r="G87" t="str">
        <f t="shared" si="2"/>
        <v>#AppleEvent,#iPadPro</v>
      </c>
      <c r="H87" s="6">
        <v>23499</v>
      </c>
      <c r="I87" s="6">
        <v>562</v>
      </c>
      <c r="J87" s="6">
        <v>964</v>
      </c>
      <c r="K87" s="6">
        <v>2557</v>
      </c>
      <c r="L87" s="6">
        <v>56890</v>
      </c>
      <c r="M87" s="6">
        <v>218686</v>
      </c>
      <c r="N87" t="s">
        <v>37</v>
      </c>
      <c r="O87" t="str">
        <f t="shared" si="3"/>
        <v>During</v>
      </c>
      <c r="P87" s="7">
        <v>0.13050140408153055</v>
      </c>
    </row>
    <row r="88" spans="1:16">
      <c r="A88" t="s">
        <v>133</v>
      </c>
      <c r="B88" t="s">
        <v>48</v>
      </c>
      <c r="C88" s="5">
        <v>45545</v>
      </c>
      <c r="D88" t="s">
        <v>40</v>
      </c>
      <c r="E88" t="s">
        <v>44</v>
      </c>
      <c r="F88" t="s">
        <v>45</v>
      </c>
      <c r="G88" t="str">
        <f t="shared" si="2"/>
        <v>#AppleWatch,#Health</v>
      </c>
      <c r="H88" s="6">
        <v>6637</v>
      </c>
      <c r="I88" s="6">
        <v>595</v>
      </c>
      <c r="J88" s="6">
        <v>161</v>
      </c>
      <c r="K88" s="6">
        <v>2653</v>
      </c>
      <c r="L88" s="6">
        <v>19334</v>
      </c>
      <c r="M88" s="6">
        <v>131155</v>
      </c>
      <c r="N88" t="s">
        <v>32</v>
      </c>
      <c r="O88" t="str">
        <f t="shared" si="3"/>
        <v>Before</v>
      </c>
      <c r="P88" s="7">
        <v>0.13041807107799658</v>
      </c>
    </row>
    <row r="89" spans="1:16">
      <c r="A89" t="s">
        <v>134</v>
      </c>
      <c r="B89" t="s">
        <v>48</v>
      </c>
      <c r="C89" s="5">
        <v>45517</v>
      </c>
      <c r="D89" t="s">
        <v>40</v>
      </c>
      <c r="E89" t="s">
        <v>116</v>
      </c>
      <c r="F89" t="s">
        <v>117</v>
      </c>
      <c r="G89" t="str">
        <f t="shared" si="2"/>
        <v>#Sustainability,#AppleEarth</v>
      </c>
      <c r="H89" s="6">
        <v>6854</v>
      </c>
      <c r="I89" s="6">
        <v>417</v>
      </c>
      <c r="J89" s="6">
        <v>467</v>
      </c>
      <c r="K89" s="6">
        <v>1003</v>
      </c>
      <c r="L89" s="6">
        <v>61333</v>
      </c>
      <c r="M89" s="6">
        <v>40281</v>
      </c>
      <c r="N89" t="s">
        <v>21</v>
      </c>
      <c r="O89" t="str">
        <f t="shared" si="3"/>
        <v>Before</v>
      </c>
      <c r="P89" s="7">
        <v>0.13010670922779954</v>
      </c>
    </row>
    <row r="90" spans="1:16">
      <c r="A90" t="s">
        <v>135</v>
      </c>
      <c r="B90" t="s">
        <v>23</v>
      </c>
      <c r="C90" s="5">
        <v>45453</v>
      </c>
      <c r="D90" t="s">
        <v>34</v>
      </c>
      <c r="E90" t="s">
        <v>41</v>
      </c>
      <c r="F90" t="s">
        <v>42</v>
      </c>
      <c r="G90" t="str">
        <f t="shared" si="2"/>
        <v>#AppleMusic,#AppleLifestyle</v>
      </c>
      <c r="H90" s="6">
        <v>21561</v>
      </c>
      <c r="I90" s="6">
        <v>340</v>
      </c>
      <c r="J90" s="6">
        <v>741</v>
      </c>
      <c r="K90" s="6">
        <v>986</v>
      </c>
      <c r="L90" s="6">
        <v>24826</v>
      </c>
      <c r="M90" s="6">
        <v>198492</v>
      </c>
      <c r="N90" t="s">
        <v>21</v>
      </c>
      <c r="O90" t="str">
        <f t="shared" si="3"/>
        <v>Before</v>
      </c>
      <c r="P90" s="7">
        <v>0.12912502137316773</v>
      </c>
    </row>
    <row r="91" spans="1:16">
      <c r="A91" t="s">
        <v>136</v>
      </c>
      <c r="B91" t="s">
        <v>48</v>
      </c>
      <c r="C91" s="5">
        <v>45475</v>
      </c>
      <c r="D91" t="s">
        <v>40</v>
      </c>
      <c r="E91" t="s">
        <v>41</v>
      </c>
      <c r="F91" t="s">
        <v>42</v>
      </c>
      <c r="G91" t="str">
        <f t="shared" si="2"/>
        <v>#AppleMusic,#AppleLifestyle</v>
      </c>
      <c r="H91" s="6">
        <v>12320</v>
      </c>
      <c r="I91" s="6">
        <v>1157</v>
      </c>
      <c r="J91" s="6">
        <v>365</v>
      </c>
      <c r="K91" s="6">
        <v>584</v>
      </c>
      <c r="L91" s="6">
        <v>66634</v>
      </c>
      <c r="M91" s="6">
        <v>210102</v>
      </c>
      <c r="N91" t="s">
        <v>37</v>
      </c>
      <c r="O91" t="str">
        <f t="shared" si="3"/>
        <v>During</v>
      </c>
      <c r="P91" s="7">
        <v>0.1278440093067309</v>
      </c>
    </row>
    <row r="92" spans="1:16">
      <c r="A92" t="s">
        <v>137</v>
      </c>
      <c r="B92" t="s">
        <v>17</v>
      </c>
      <c r="C92" s="5">
        <v>45583</v>
      </c>
      <c r="D92" t="s">
        <v>40</v>
      </c>
      <c r="E92" t="s">
        <v>24</v>
      </c>
      <c r="F92" t="s">
        <v>25</v>
      </c>
      <c r="G92" t="str">
        <f t="shared" si="2"/>
        <v>#MacBookAirM3,#AppleInnovation</v>
      </c>
      <c r="H92" s="6">
        <v>6892</v>
      </c>
      <c r="I92" s="6">
        <v>1184</v>
      </c>
      <c r="J92" s="6">
        <v>925</v>
      </c>
      <c r="K92" s="6">
        <v>1062</v>
      </c>
      <c r="L92" s="6">
        <v>75008</v>
      </c>
      <c r="M92" s="6">
        <v>116260</v>
      </c>
      <c r="N92" t="s">
        <v>53</v>
      </c>
      <c r="O92" t="str">
        <f t="shared" si="3"/>
        <v>Before</v>
      </c>
      <c r="P92" s="7">
        <v>0.12668766876687668</v>
      </c>
    </row>
    <row r="93" spans="1:16">
      <c r="A93" t="s">
        <v>138</v>
      </c>
      <c r="B93" t="s">
        <v>48</v>
      </c>
      <c r="C93" s="5">
        <v>45927</v>
      </c>
      <c r="D93" t="s">
        <v>29</v>
      </c>
      <c r="E93" t="s">
        <v>24</v>
      </c>
      <c r="F93" t="s">
        <v>25</v>
      </c>
      <c r="G93" t="str">
        <f t="shared" si="2"/>
        <v>#MacBookAirM3,#AppleInnovation</v>
      </c>
      <c r="H93" s="6">
        <v>18521</v>
      </c>
      <c r="I93" s="6">
        <v>1027</v>
      </c>
      <c r="J93" s="6">
        <v>230</v>
      </c>
      <c r="K93" s="6">
        <v>1247</v>
      </c>
      <c r="L93" s="6">
        <v>39588</v>
      </c>
      <c r="M93" s="6">
        <v>200928</v>
      </c>
      <c r="N93" t="s">
        <v>26</v>
      </c>
      <c r="O93" t="str">
        <f t="shared" si="3"/>
        <v>Before</v>
      </c>
      <c r="P93" s="7">
        <v>0.12648968572187591</v>
      </c>
    </row>
    <row r="94" spans="1:16">
      <c r="A94" t="s">
        <v>139</v>
      </c>
      <c r="B94" t="s">
        <v>23</v>
      </c>
      <c r="C94" s="5">
        <v>45739</v>
      </c>
      <c r="D94" t="s">
        <v>18</v>
      </c>
      <c r="E94" t="s">
        <v>30</v>
      </c>
      <c r="F94" t="s">
        <v>31</v>
      </c>
      <c r="G94" t="str">
        <f t="shared" si="2"/>
        <v>#AppleDesign,#Innovation</v>
      </c>
      <c r="H94" s="6">
        <v>24711</v>
      </c>
      <c r="I94" s="6">
        <v>882</v>
      </c>
      <c r="J94" s="6">
        <v>876</v>
      </c>
      <c r="K94" s="6">
        <v>2728</v>
      </c>
      <c r="L94" s="6">
        <v>32015</v>
      </c>
      <c r="M94" s="6">
        <v>180272</v>
      </c>
      <c r="N94" t="s">
        <v>37</v>
      </c>
      <c r="O94" t="str">
        <f t="shared" si="3"/>
        <v>During</v>
      </c>
      <c r="P94" s="7">
        <v>0.12615485358805359</v>
      </c>
    </row>
    <row r="95" spans="1:16">
      <c r="A95" t="s">
        <v>140</v>
      </c>
      <c r="B95" t="s">
        <v>48</v>
      </c>
      <c r="C95" s="5">
        <v>45457</v>
      </c>
      <c r="D95" t="s">
        <v>40</v>
      </c>
      <c r="E95" t="s">
        <v>49</v>
      </c>
      <c r="F95" t="s">
        <v>35</v>
      </c>
      <c r="G95" t="str">
        <f t="shared" si="2"/>
        <v>#iPhone16Launch,#AppleEvent</v>
      </c>
      <c r="H95" s="6">
        <v>21856</v>
      </c>
      <c r="I95" s="6">
        <v>1203</v>
      </c>
      <c r="J95" s="6">
        <v>634</v>
      </c>
      <c r="K95" s="6">
        <v>2807</v>
      </c>
      <c r="L95" s="6">
        <v>3647</v>
      </c>
      <c r="M95" s="6">
        <v>104178</v>
      </c>
      <c r="N95" t="s">
        <v>37</v>
      </c>
      <c r="O95" t="str">
        <f t="shared" si="3"/>
        <v>During</v>
      </c>
      <c r="P95" s="7">
        <v>0.12575646502692181</v>
      </c>
    </row>
    <row r="96" spans="1:16">
      <c r="A96" t="s">
        <v>141</v>
      </c>
      <c r="B96" t="s">
        <v>48</v>
      </c>
      <c r="C96" s="5">
        <v>45692</v>
      </c>
      <c r="D96" t="s">
        <v>40</v>
      </c>
      <c r="E96" t="s">
        <v>44</v>
      </c>
      <c r="F96" t="s">
        <v>45</v>
      </c>
      <c r="G96" t="str">
        <f t="shared" si="2"/>
        <v>#AppleWatch,#Health</v>
      </c>
      <c r="H96" s="6">
        <v>23833</v>
      </c>
      <c r="I96" s="6">
        <v>555</v>
      </c>
      <c r="J96" s="6">
        <v>523</v>
      </c>
      <c r="K96" s="6">
        <v>1330</v>
      </c>
      <c r="L96" s="6">
        <v>69141</v>
      </c>
      <c r="M96" s="6">
        <v>73997</v>
      </c>
      <c r="N96" t="s">
        <v>37</v>
      </c>
      <c r="O96" t="str">
        <f t="shared" si="3"/>
        <v>During</v>
      </c>
      <c r="P96" s="7">
        <v>0.12537731714393299</v>
      </c>
    </row>
    <row r="97" spans="1:16">
      <c r="A97" t="s">
        <v>142</v>
      </c>
      <c r="B97" t="s">
        <v>48</v>
      </c>
      <c r="C97" s="5">
        <v>45464</v>
      </c>
      <c r="D97" t="s">
        <v>34</v>
      </c>
      <c r="E97" t="s">
        <v>35</v>
      </c>
      <c r="F97" t="s">
        <v>36</v>
      </c>
      <c r="G97" t="str">
        <f t="shared" si="2"/>
        <v>#AppleEvent,#iPadPro</v>
      </c>
      <c r="H97" s="6">
        <v>21216</v>
      </c>
      <c r="I97" s="6">
        <v>1207</v>
      </c>
      <c r="J97" s="6">
        <v>859</v>
      </c>
      <c r="K97" s="6">
        <v>328</v>
      </c>
      <c r="L97" s="6">
        <v>91296</v>
      </c>
      <c r="M97" s="6">
        <v>196683</v>
      </c>
      <c r="N97" t="s">
        <v>32</v>
      </c>
      <c r="O97" t="str">
        <f t="shared" si="3"/>
        <v>Before</v>
      </c>
      <c r="P97" s="7">
        <v>0.12516113701844536</v>
      </c>
    </row>
    <row r="98" spans="1:16">
      <c r="A98" t="s">
        <v>143</v>
      </c>
      <c r="B98" t="s">
        <v>23</v>
      </c>
      <c r="C98" s="5">
        <v>45928</v>
      </c>
      <c r="D98" t="s">
        <v>40</v>
      </c>
      <c r="E98" t="s">
        <v>44</v>
      </c>
      <c r="F98" t="s">
        <v>45</v>
      </c>
      <c r="G98" t="str">
        <f t="shared" si="2"/>
        <v>#AppleWatch,#Health</v>
      </c>
      <c r="H98" s="6">
        <v>21963</v>
      </c>
      <c r="I98" s="6">
        <v>1356</v>
      </c>
      <c r="J98" s="6">
        <v>349</v>
      </c>
      <c r="K98" s="6">
        <v>1206</v>
      </c>
      <c r="L98" s="6">
        <v>51755</v>
      </c>
      <c r="M98" s="6">
        <v>159273</v>
      </c>
      <c r="N98" t="s">
        <v>26</v>
      </c>
      <c r="O98" t="str">
        <f t="shared" si="3"/>
        <v>Before</v>
      </c>
      <c r="P98" s="7">
        <v>0.1232223731884058</v>
      </c>
    </row>
    <row r="99" spans="1:16">
      <c r="A99" t="s">
        <v>144</v>
      </c>
      <c r="B99" t="s">
        <v>48</v>
      </c>
      <c r="C99" s="5">
        <v>45512</v>
      </c>
      <c r="D99" t="s">
        <v>40</v>
      </c>
      <c r="E99" t="s">
        <v>44</v>
      </c>
      <c r="F99" t="s">
        <v>45</v>
      </c>
      <c r="G99" t="str">
        <f t="shared" si="2"/>
        <v>#AppleWatch,#Health</v>
      </c>
      <c r="H99" s="6">
        <v>24355</v>
      </c>
      <c r="I99" s="6">
        <v>1087</v>
      </c>
      <c r="J99" s="6">
        <v>686</v>
      </c>
      <c r="K99" s="6">
        <v>2426</v>
      </c>
      <c r="L99" s="6">
        <v>24963</v>
      </c>
      <c r="M99" s="6">
        <v>212307</v>
      </c>
      <c r="N99" t="s">
        <v>21</v>
      </c>
      <c r="O99" t="str">
        <f t="shared" si="3"/>
        <v>Before</v>
      </c>
      <c r="P99" s="7">
        <v>0.12316112924908777</v>
      </c>
    </row>
    <row r="100" spans="1:16">
      <c r="A100" t="s">
        <v>145</v>
      </c>
      <c r="B100" t="s">
        <v>17</v>
      </c>
      <c r="C100" s="5">
        <v>45502</v>
      </c>
      <c r="D100" t="s">
        <v>34</v>
      </c>
      <c r="E100" t="s">
        <v>44</v>
      </c>
      <c r="F100" t="s">
        <v>45</v>
      </c>
      <c r="G100" t="str">
        <f t="shared" si="2"/>
        <v>#AppleWatch,#Health</v>
      </c>
      <c r="H100" s="6">
        <v>6164</v>
      </c>
      <c r="I100" s="6">
        <v>326</v>
      </c>
      <c r="J100" s="6">
        <v>615</v>
      </c>
      <c r="K100" s="6">
        <v>2806</v>
      </c>
      <c r="L100" s="6">
        <v>38579</v>
      </c>
      <c r="M100" s="6">
        <v>206129</v>
      </c>
      <c r="N100" t="s">
        <v>53</v>
      </c>
      <c r="O100" t="str">
        <f t="shared" si="3"/>
        <v>Before</v>
      </c>
      <c r="P100" s="7">
        <v>0.1230670679723231</v>
      </c>
    </row>
    <row r="101" spans="1:16">
      <c r="A101" t="s">
        <v>146</v>
      </c>
      <c r="B101" t="s">
        <v>17</v>
      </c>
      <c r="C101" s="5">
        <v>45570</v>
      </c>
      <c r="D101" t="s">
        <v>40</v>
      </c>
      <c r="E101" t="s">
        <v>24</v>
      </c>
      <c r="F101" t="s">
        <v>25</v>
      </c>
      <c r="G101" t="str">
        <f t="shared" si="2"/>
        <v>#MacBookAirM3,#AppleInnovation</v>
      </c>
      <c r="H101" s="6">
        <v>16388</v>
      </c>
      <c r="I101" s="6">
        <v>1208</v>
      </c>
      <c r="J101" s="6">
        <v>417</v>
      </c>
      <c r="K101" s="6">
        <v>2306</v>
      </c>
      <c r="L101" s="6">
        <v>16865</v>
      </c>
      <c r="M101" s="6">
        <v>236733</v>
      </c>
      <c r="N101" t="s">
        <v>21</v>
      </c>
      <c r="O101" t="str">
        <f t="shared" si="3"/>
        <v>Before</v>
      </c>
      <c r="P101" s="7">
        <v>0.12222859965027964</v>
      </c>
    </row>
    <row r="102" spans="1:16">
      <c r="A102" t="s">
        <v>147</v>
      </c>
      <c r="B102" t="s">
        <v>23</v>
      </c>
      <c r="C102" s="5">
        <v>45929</v>
      </c>
      <c r="D102" t="s">
        <v>34</v>
      </c>
      <c r="E102" t="s">
        <v>63</v>
      </c>
      <c r="F102" t="s">
        <v>64</v>
      </c>
      <c r="G102" t="str">
        <f t="shared" si="2"/>
        <v>#iPhonePhotography,#ShotOniPhone</v>
      </c>
      <c r="H102" s="6">
        <v>7569</v>
      </c>
      <c r="I102" s="6">
        <v>803</v>
      </c>
      <c r="J102" s="6">
        <v>804</v>
      </c>
      <c r="K102" s="6">
        <v>1753</v>
      </c>
      <c r="L102" s="6">
        <v>43582</v>
      </c>
      <c r="M102" s="6">
        <v>166945</v>
      </c>
      <c r="N102" t="s">
        <v>26</v>
      </c>
      <c r="O102" t="str">
        <f t="shared" si="3"/>
        <v>Before</v>
      </c>
      <c r="P102" s="7">
        <v>0.12041777068916729</v>
      </c>
    </row>
    <row r="103" spans="1:16">
      <c r="A103" t="s">
        <v>148</v>
      </c>
      <c r="B103" t="s">
        <v>48</v>
      </c>
      <c r="C103" s="5">
        <v>45610</v>
      </c>
      <c r="D103" t="s">
        <v>18</v>
      </c>
      <c r="E103" t="s">
        <v>30</v>
      </c>
      <c r="F103" t="s">
        <v>31</v>
      </c>
      <c r="G103" t="str">
        <f t="shared" si="2"/>
        <v>#AppleDesign,#Innovation</v>
      </c>
      <c r="H103" s="6">
        <v>6300</v>
      </c>
      <c r="I103" s="6">
        <v>1213</v>
      </c>
      <c r="J103" s="6">
        <v>720</v>
      </c>
      <c r="K103" s="6">
        <v>1037</v>
      </c>
      <c r="L103" s="6">
        <v>39569</v>
      </c>
      <c r="M103" s="6">
        <v>85272</v>
      </c>
      <c r="N103" t="s">
        <v>37</v>
      </c>
      <c r="O103" t="str">
        <f t="shared" si="3"/>
        <v>During</v>
      </c>
      <c r="P103" s="7">
        <v>0.11911989702989532</v>
      </c>
    </row>
    <row r="104" spans="1:16">
      <c r="A104" t="s">
        <v>149</v>
      </c>
      <c r="B104" t="s">
        <v>17</v>
      </c>
      <c r="C104" s="5">
        <v>45930</v>
      </c>
      <c r="D104" t="s">
        <v>29</v>
      </c>
      <c r="E104" t="s">
        <v>19</v>
      </c>
      <c r="F104" t="s">
        <v>20</v>
      </c>
      <c r="G104" t="str">
        <f t="shared" si="2"/>
        <v>#AppleWatchUltra2,#HealthTech</v>
      </c>
      <c r="H104" s="6">
        <v>8269</v>
      </c>
      <c r="I104" s="6">
        <v>250</v>
      </c>
      <c r="J104" s="6">
        <v>638</v>
      </c>
      <c r="K104" s="6">
        <v>815</v>
      </c>
      <c r="L104" s="6">
        <v>41991</v>
      </c>
      <c r="M104" s="6">
        <v>129393</v>
      </c>
      <c r="N104" t="s">
        <v>26</v>
      </c>
      <c r="O104" t="str">
        <f t="shared" si="3"/>
        <v>Before</v>
      </c>
      <c r="P104" s="7">
        <v>0.11896313818253498</v>
      </c>
    </row>
    <row r="105" spans="1:16">
      <c r="A105" t="s">
        <v>150</v>
      </c>
      <c r="B105" t="s">
        <v>23</v>
      </c>
      <c r="C105" s="5">
        <v>45734</v>
      </c>
      <c r="D105" t="s">
        <v>18</v>
      </c>
      <c r="E105" t="s">
        <v>44</v>
      </c>
      <c r="F105" t="s">
        <v>45</v>
      </c>
      <c r="G105" t="str">
        <f t="shared" si="2"/>
        <v>#AppleWatch,#Health</v>
      </c>
      <c r="H105" s="6">
        <v>5818</v>
      </c>
      <c r="I105" s="6">
        <v>1252</v>
      </c>
      <c r="J105" s="6">
        <v>687</v>
      </c>
      <c r="K105" s="6">
        <v>2300</v>
      </c>
      <c r="L105" s="6">
        <v>25081</v>
      </c>
      <c r="M105" s="6">
        <v>101212</v>
      </c>
      <c r="N105" t="s">
        <v>53</v>
      </c>
      <c r="O105" t="str">
        <f t="shared" si="3"/>
        <v>Before</v>
      </c>
      <c r="P105" s="7">
        <v>0.1183732198512327</v>
      </c>
    </row>
    <row r="106" spans="1:16">
      <c r="A106" t="s">
        <v>151</v>
      </c>
      <c r="B106" t="s">
        <v>28</v>
      </c>
      <c r="C106" s="5">
        <v>45600</v>
      </c>
      <c r="D106" t="s">
        <v>18</v>
      </c>
      <c r="E106" t="s">
        <v>35</v>
      </c>
      <c r="F106" t="s">
        <v>58</v>
      </c>
      <c r="G106" t="str">
        <f t="shared" si="2"/>
        <v>#AppleEvent,#iPhone16</v>
      </c>
      <c r="H106" s="6">
        <v>14015</v>
      </c>
      <c r="I106" s="6">
        <v>978</v>
      </c>
      <c r="J106" s="6">
        <v>196</v>
      </c>
      <c r="K106" s="6">
        <v>2744</v>
      </c>
      <c r="L106" s="6">
        <v>20190</v>
      </c>
      <c r="M106" s="6">
        <v>186470</v>
      </c>
      <c r="N106" t="s">
        <v>32</v>
      </c>
      <c r="O106" t="str">
        <f t="shared" si="3"/>
        <v>Before</v>
      </c>
      <c r="P106" s="7">
        <v>0.11749035379446063</v>
      </c>
    </row>
    <row r="107" spans="1:16">
      <c r="A107" t="s">
        <v>152</v>
      </c>
      <c r="B107" t="s">
        <v>23</v>
      </c>
      <c r="C107" s="5">
        <v>45695</v>
      </c>
      <c r="D107" t="s">
        <v>40</v>
      </c>
      <c r="E107" t="s">
        <v>116</v>
      </c>
      <c r="F107" t="s">
        <v>117</v>
      </c>
      <c r="G107" t="str">
        <f t="shared" si="2"/>
        <v>#Sustainability,#AppleEarth</v>
      </c>
      <c r="H107" s="6">
        <v>20290</v>
      </c>
      <c r="I107" s="6">
        <v>619</v>
      </c>
      <c r="J107" s="6">
        <v>927</v>
      </c>
      <c r="K107" s="6">
        <v>1186</v>
      </c>
      <c r="L107" s="6">
        <v>8924</v>
      </c>
      <c r="M107" s="6">
        <v>96503</v>
      </c>
      <c r="N107" t="s">
        <v>53</v>
      </c>
      <c r="O107" t="str">
        <f t="shared" si="3"/>
        <v>Before</v>
      </c>
      <c r="P107" s="7">
        <v>0.1153700668263775</v>
      </c>
    </row>
    <row r="108" spans="1:16">
      <c r="A108" t="s">
        <v>153</v>
      </c>
      <c r="B108" t="s">
        <v>28</v>
      </c>
      <c r="C108" s="5">
        <v>45586</v>
      </c>
      <c r="D108" t="s">
        <v>34</v>
      </c>
      <c r="E108" t="s">
        <v>35</v>
      </c>
      <c r="F108" t="s">
        <v>36</v>
      </c>
      <c r="G108" t="str">
        <f t="shared" si="2"/>
        <v>#AppleEvent,#iPadPro</v>
      </c>
      <c r="H108" s="6">
        <v>8254</v>
      </c>
      <c r="I108" s="6">
        <v>1405</v>
      </c>
      <c r="J108" s="6">
        <v>165</v>
      </c>
      <c r="K108" s="6">
        <v>2504</v>
      </c>
      <c r="L108" s="6">
        <v>8081</v>
      </c>
      <c r="M108" s="6">
        <v>177710</v>
      </c>
      <c r="N108" t="s">
        <v>21</v>
      </c>
      <c r="O108" t="str">
        <f t="shared" si="3"/>
        <v>Before</v>
      </c>
      <c r="P108" s="7">
        <v>0.11443347996671026</v>
      </c>
    </row>
    <row r="109" spans="1:16">
      <c r="A109" t="s">
        <v>154</v>
      </c>
      <c r="B109" t="s">
        <v>23</v>
      </c>
      <c r="C109" s="5">
        <v>45502</v>
      </c>
      <c r="D109" t="s">
        <v>34</v>
      </c>
      <c r="E109" t="s">
        <v>19</v>
      </c>
      <c r="F109" t="s">
        <v>20</v>
      </c>
      <c r="G109" t="str">
        <f t="shared" si="2"/>
        <v>#AppleWatchUltra2,#HealthTech</v>
      </c>
      <c r="H109" s="6">
        <v>19144</v>
      </c>
      <c r="I109" s="6">
        <v>1182</v>
      </c>
      <c r="J109" s="6">
        <v>860</v>
      </c>
      <c r="K109" s="6">
        <v>1398</v>
      </c>
      <c r="L109" s="6">
        <v>4185</v>
      </c>
      <c r="M109" s="6">
        <v>46570</v>
      </c>
      <c r="N109" t="s">
        <v>21</v>
      </c>
      <c r="O109" t="str">
        <f t="shared" si="3"/>
        <v>Before</v>
      </c>
      <c r="P109" s="7">
        <v>0.11411164278556117</v>
      </c>
    </row>
    <row r="110" spans="1:16">
      <c r="A110" t="s">
        <v>155</v>
      </c>
      <c r="B110" t="s">
        <v>28</v>
      </c>
      <c r="C110" s="5">
        <v>45567</v>
      </c>
      <c r="D110" t="s">
        <v>34</v>
      </c>
      <c r="E110" t="s">
        <v>63</v>
      </c>
      <c r="F110" t="s">
        <v>64</v>
      </c>
      <c r="G110" t="str">
        <f t="shared" si="2"/>
        <v>#iPhonePhotography,#ShotOniPhone</v>
      </c>
      <c r="H110" s="6">
        <v>9350</v>
      </c>
      <c r="I110" s="6">
        <v>1024</v>
      </c>
      <c r="J110" s="6">
        <v>550</v>
      </c>
      <c r="K110" s="6">
        <v>2123</v>
      </c>
      <c r="L110" s="6">
        <v>53916</v>
      </c>
      <c r="M110" s="6">
        <v>108785</v>
      </c>
      <c r="N110" t="s">
        <v>32</v>
      </c>
      <c r="O110" t="str">
        <f t="shared" si="3"/>
        <v>Before</v>
      </c>
      <c r="P110" s="7">
        <v>0.11407008846704149</v>
      </c>
    </row>
    <row r="111" spans="1:16">
      <c r="A111" t="s">
        <v>156</v>
      </c>
      <c r="B111" t="s">
        <v>48</v>
      </c>
      <c r="C111" s="5">
        <v>45457</v>
      </c>
      <c r="D111" t="s">
        <v>34</v>
      </c>
      <c r="E111" t="s">
        <v>35</v>
      </c>
      <c r="F111" t="s">
        <v>58</v>
      </c>
      <c r="G111" t="str">
        <f t="shared" si="2"/>
        <v>#AppleEvent,#iPhone16</v>
      </c>
      <c r="H111" s="6">
        <v>17183</v>
      </c>
      <c r="I111" s="6">
        <v>1224</v>
      </c>
      <c r="J111" s="6">
        <v>943</v>
      </c>
      <c r="K111" s="6">
        <v>2010</v>
      </c>
      <c r="L111" s="6">
        <v>21481</v>
      </c>
      <c r="M111" s="6">
        <v>49110</v>
      </c>
      <c r="N111" t="s">
        <v>32</v>
      </c>
      <c r="O111" t="str">
        <f t="shared" si="3"/>
        <v>Before</v>
      </c>
      <c r="P111" s="7">
        <v>0.11355820301337197</v>
      </c>
    </row>
    <row r="112" spans="1:16">
      <c r="A112" t="s">
        <v>157</v>
      </c>
      <c r="B112" t="s">
        <v>17</v>
      </c>
      <c r="C112" s="5">
        <v>45753</v>
      </c>
      <c r="D112" t="s">
        <v>29</v>
      </c>
      <c r="E112" t="s">
        <v>63</v>
      </c>
      <c r="F112" t="s">
        <v>64</v>
      </c>
      <c r="G112" t="str">
        <f t="shared" si="2"/>
        <v>#iPhonePhotography,#ShotOniPhone</v>
      </c>
      <c r="H112" s="6">
        <v>8238</v>
      </c>
      <c r="I112" s="6">
        <v>766</v>
      </c>
      <c r="J112" s="6">
        <v>235</v>
      </c>
      <c r="K112" s="6">
        <v>1273</v>
      </c>
      <c r="L112" s="6">
        <v>4706</v>
      </c>
      <c r="M112" s="6">
        <v>119141</v>
      </c>
      <c r="N112" t="s">
        <v>37</v>
      </c>
      <c r="O112" t="str">
        <f t="shared" si="3"/>
        <v>During</v>
      </c>
      <c r="P112" s="7">
        <v>0.11328730295182141</v>
      </c>
    </row>
    <row r="113" spans="1:16">
      <c r="A113" t="s">
        <v>158</v>
      </c>
      <c r="B113" t="s">
        <v>28</v>
      </c>
      <c r="C113" s="5">
        <v>45543</v>
      </c>
      <c r="D113" t="s">
        <v>40</v>
      </c>
      <c r="E113" t="s">
        <v>19</v>
      </c>
      <c r="F113" t="s">
        <v>20</v>
      </c>
      <c r="G113" t="str">
        <f t="shared" si="2"/>
        <v>#AppleWatchUltra2,#HealthTech</v>
      </c>
      <c r="H113" s="6">
        <v>8090</v>
      </c>
      <c r="I113" s="6">
        <v>570</v>
      </c>
      <c r="J113" s="6">
        <v>399</v>
      </c>
      <c r="K113" s="6">
        <v>1862</v>
      </c>
      <c r="L113" s="6">
        <v>34088</v>
      </c>
      <c r="M113" s="6">
        <v>52115</v>
      </c>
      <c r="N113" t="s">
        <v>21</v>
      </c>
      <c r="O113" t="str">
        <f t="shared" si="3"/>
        <v>Before</v>
      </c>
      <c r="P113" s="7">
        <v>0.11313957281984714</v>
      </c>
    </row>
    <row r="114" spans="1:16">
      <c r="A114" t="s">
        <v>159</v>
      </c>
      <c r="B114" t="s">
        <v>23</v>
      </c>
      <c r="C114" s="5">
        <v>45744</v>
      </c>
      <c r="D114" t="s">
        <v>18</v>
      </c>
      <c r="E114" t="s">
        <v>44</v>
      </c>
      <c r="F114" t="s">
        <v>45</v>
      </c>
      <c r="G114" t="str">
        <f t="shared" si="2"/>
        <v>#AppleWatch,#Health</v>
      </c>
      <c r="H114" s="6">
        <v>13637</v>
      </c>
      <c r="I114" s="6">
        <v>1135</v>
      </c>
      <c r="J114" s="6">
        <v>540</v>
      </c>
      <c r="K114" s="6">
        <v>1288</v>
      </c>
      <c r="L114" s="6">
        <v>45183</v>
      </c>
      <c r="M114" s="6">
        <v>79062</v>
      </c>
      <c r="N114" t="s">
        <v>53</v>
      </c>
      <c r="O114" t="str">
        <f t="shared" si="3"/>
        <v>Before</v>
      </c>
      <c r="P114" s="7">
        <v>0.11301683925623726</v>
      </c>
    </row>
    <row r="115" spans="1:16">
      <c r="A115" t="s">
        <v>160</v>
      </c>
      <c r="B115" t="s">
        <v>48</v>
      </c>
      <c r="C115" s="5">
        <v>45684</v>
      </c>
      <c r="D115" t="s">
        <v>18</v>
      </c>
      <c r="E115" t="s">
        <v>35</v>
      </c>
      <c r="F115" t="s">
        <v>58</v>
      </c>
      <c r="G115" t="str">
        <f t="shared" si="2"/>
        <v>#AppleEvent,#iPhone16</v>
      </c>
      <c r="H115" s="6">
        <v>24415</v>
      </c>
      <c r="I115" s="6">
        <v>860</v>
      </c>
      <c r="J115" s="6">
        <v>931</v>
      </c>
      <c r="K115" s="6">
        <v>320</v>
      </c>
      <c r="L115" s="6">
        <v>65049</v>
      </c>
      <c r="M115" s="6">
        <v>62911</v>
      </c>
      <c r="N115" t="s">
        <v>21</v>
      </c>
      <c r="O115" t="str">
        <f t="shared" si="3"/>
        <v>Before</v>
      </c>
      <c r="P115" s="7">
        <v>0.1127203416948398</v>
      </c>
    </row>
    <row r="116" spans="1:16">
      <c r="A116" t="s">
        <v>161</v>
      </c>
      <c r="B116" t="s">
        <v>28</v>
      </c>
      <c r="C116" s="5">
        <v>45667</v>
      </c>
      <c r="D116" t="s">
        <v>40</v>
      </c>
      <c r="E116" t="s">
        <v>63</v>
      </c>
      <c r="F116" t="s">
        <v>64</v>
      </c>
      <c r="G116" t="str">
        <f t="shared" si="2"/>
        <v>#iPhonePhotography,#ShotOniPhone</v>
      </c>
      <c r="H116" s="6">
        <v>14647</v>
      </c>
      <c r="I116" s="6">
        <v>1168</v>
      </c>
      <c r="J116" s="6">
        <v>484</v>
      </c>
      <c r="K116" s="6">
        <v>2650</v>
      </c>
      <c r="L116" s="6">
        <v>27217</v>
      </c>
      <c r="M116" s="6">
        <v>144061</v>
      </c>
      <c r="N116" t="s">
        <v>37</v>
      </c>
      <c r="O116" t="str">
        <f t="shared" si="3"/>
        <v>During</v>
      </c>
      <c r="P116" s="7">
        <v>0.1120806492094035</v>
      </c>
    </row>
    <row r="117" spans="1:16">
      <c r="A117" t="s">
        <v>162</v>
      </c>
      <c r="B117" t="s">
        <v>23</v>
      </c>
      <c r="C117" s="5">
        <v>45494</v>
      </c>
      <c r="D117" t="s">
        <v>18</v>
      </c>
      <c r="E117" t="s">
        <v>35</v>
      </c>
      <c r="F117" t="s">
        <v>36</v>
      </c>
      <c r="G117" t="str">
        <f t="shared" si="2"/>
        <v>#AppleEvent,#iPadPro</v>
      </c>
      <c r="H117" s="6">
        <v>11911</v>
      </c>
      <c r="I117" s="6">
        <v>1360</v>
      </c>
      <c r="J117" s="6">
        <v>778</v>
      </c>
      <c r="K117" s="6">
        <v>1168</v>
      </c>
      <c r="L117" s="6">
        <v>16483</v>
      </c>
      <c r="M117" s="6">
        <v>72556</v>
      </c>
      <c r="N117" t="s">
        <v>32</v>
      </c>
      <c r="O117" t="str">
        <f t="shared" si="3"/>
        <v>Before</v>
      </c>
      <c r="P117" s="7">
        <v>0.11204802282024356</v>
      </c>
    </row>
    <row r="118" spans="1:16">
      <c r="A118" t="s">
        <v>163</v>
      </c>
      <c r="B118" t="s">
        <v>23</v>
      </c>
      <c r="C118" s="5">
        <v>45564</v>
      </c>
      <c r="D118" t="s">
        <v>40</v>
      </c>
      <c r="E118" t="s">
        <v>24</v>
      </c>
      <c r="F118" t="s">
        <v>25</v>
      </c>
      <c r="G118" t="str">
        <f t="shared" si="2"/>
        <v>#MacBookAirM3,#AppleInnovation</v>
      </c>
      <c r="H118" s="6">
        <v>10472</v>
      </c>
      <c r="I118" s="6">
        <v>401</v>
      </c>
      <c r="J118" s="6">
        <v>668</v>
      </c>
      <c r="K118" s="6">
        <v>383</v>
      </c>
      <c r="L118" s="6">
        <v>37571</v>
      </c>
      <c r="M118" s="6">
        <v>249203</v>
      </c>
      <c r="N118" t="s">
        <v>32</v>
      </c>
      <c r="O118" t="str">
        <f t="shared" si="3"/>
        <v>Before</v>
      </c>
      <c r="P118" s="7">
        <v>0.11153684271636116</v>
      </c>
    </row>
    <row r="119" spans="1:16">
      <c r="A119" t="s">
        <v>164</v>
      </c>
      <c r="B119" t="s">
        <v>23</v>
      </c>
      <c r="C119" s="5">
        <v>45586</v>
      </c>
      <c r="D119" t="s">
        <v>18</v>
      </c>
      <c r="E119" t="s">
        <v>49</v>
      </c>
      <c r="F119" t="s">
        <v>35</v>
      </c>
      <c r="G119" t="str">
        <f t="shared" si="2"/>
        <v>#iPhone16Launch,#AppleEvent</v>
      </c>
      <c r="H119" s="6">
        <v>20271</v>
      </c>
      <c r="I119" s="6">
        <v>512</v>
      </c>
      <c r="J119" s="6">
        <v>286</v>
      </c>
      <c r="K119" s="6">
        <v>1982</v>
      </c>
      <c r="L119" s="6">
        <v>43225</v>
      </c>
      <c r="M119" s="6">
        <v>168335</v>
      </c>
      <c r="N119" t="s">
        <v>37</v>
      </c>
      <c r="O119" t="str">
        <f t="shared" si="3"/>
        <v>During</v>
      </c>
      <c r="P119" s="7">
        <v>0.1113073037723044</v>
      </c>
    </row>
    <row r="120" spans="1:16">
      <c r="A120" t="s">
        <v>165</v>
      </c>
      <c r="B120" t="s">
        <v>28</v>
      </c>
      <c r="C120" s="5">
        <v>45720</v>
      </c>
      <c r="D120" t="s">
        <v>34</v>
      </c>
      <c r="E120" t="s">
        <v>24</v>
      </c>
      <c r="F120" t="s">
        <v>25</v>
      </c>
      <c r="G120" t="str">
        <f t="shared" si="2"/>
        <v>#MacBookAirM3,#AppleInnovation</v>
      </c>
      <c r="H120" s="6">
        <v>5266</v>
      </c>
      <c r="I120" s="6">
        <v>316</v>
      </c>
      <c r="J120" s="6">
        <v>837</v>
      </c>
      <c r="K120" s="6">
        <v>2276</v>
      </c>
      <c r="L120" s="6">
        <v>20967</v>
      </c>
      <c r="M120" s="6">
        <v>41969</v>
      </c>
      <c r="N120" t="s">
        <v>53</v>
      </c>
      <c r="O120" t="str">
        <f t="shared" si="3"/>
        <v>Before</v>
      </c>
      <c r="P120" s="7">
        <v>0.11093962825047776</v>
      </c>
    </row>
    <row r="121" spans="1:16">
      <c r="A121" t="s">
        <v>166</v>
      </c>
      <c r="B121" t="s">
        <v>28</v>
      </c>
      <c r="C121" s="5">
        <v>45694</v>
      </c>
      <c r="D121" t="s">
        <v>18</v>
      </c>
      <c r="E121" t="s">
        <v>19</v>
      </c>
      <c r="F121" t="s">
        <v>20</v>
      </c>
      <c r="G121" t="str">
        <f t="shared" si="2"/>
        <v>#AppleWatchUltra2,#HealthTech</v>
      </c>
      <c r="H121" s="6">
        <v>2666</v>
      </c>
      <c r="I121" s="6">
        <v>1136</v>
      </c>
      <c r="J121" s="6">
        <v>989</v>
      </c>
      <c r="K121" s="6">
        <v>1710</v>
      </c>
      <c r="L121" s="6">
        <v>36467</v>
      </c>
      <c r="M121" s="6">
        <v>83753</v>
      </c>
      <c r="N121" t="s">
        <v>32</v>
      </c>
      <c r="O121" t="str">
        <f t="shared" si="3"/>
        <v>Before</v>
      </c>
      <c r="P121" s="7">
        <v>0.11067297440650634</v>
      </c>
    </row>
    <row r="122" spans="1:16">
      <c r="A122" t="s">
        <v>167</v>
      </c>
      <c r="B122" t="s">
        <v>17</v>
      </c>
      <c r="C122" s="5">
        <v>45624</v>
      </c>
      <c r="D122" t="s">
        <v>40</v>
      </c>
      <c r="E122" t="s">
        <v>49</v>
      </c>
      <c r="F122" t="s">
        <v>35</v>
      </c>
      <c r="G122" t="str">
        <f t="shared" si="2"/>
        <v>#iPhone16Launch,#AppleEvent</v>
      </c>
      <c r="H122" s="6">
        <v>19055</v>
      </c>
      <c r="I122" s="6">
        <v>443</v>
      </c>
      <c r="J122" s="6">
        <v>976</v>
      </c>
      <c r="K122" s="6">
        <v>869</v>
      </c>
      <c r="L122" s="6">
        <v>75437</v>
      </c>
      <c r="M122" s="6">
        <v>161863</v>
      </c>
      <c r="N122" t="s">
        <v>32</v>
      </c>
      <c r="O122" t="str">
        <f t="shared" si="3"/>
        <v>Before</v>
      </c>
      <c r="P122" s="7">
        <v>0.11062418453631864</v>
      </c>
    </row>
    <row r="123" spans="1:16">
      <c r="A123" t="s">
        <v>168</v>
      </c>
      <c r="B123" t="s">
        <v>28</v>
      </c>
      <c r="C123" s="5">
        <v>45932</v>
      </c>
      <c r="D123" t="s">
        <v>40</v>
      </c>
      <c r="E123" t="s">
        <v>30</v>
      </c>
      <c r="F123" t="s">
        <v>31</v>
      </c>
      <c r="G123" t="str">
        <f t="shared" si="2"/>
        <v>#AppleDesign,#Innovation</v>
      </c>
      <c r="H123" s="6">
        <v>12161</v>
      </c>
      <c r="I123" s="6">
        <v>736</v>
      </c>
      <c r="J123" s="6">
        <v>876</v>
      </c>
      <c r="K123" s="6">
        <v>1233</v>
      </c>
      <c r="L123" s="6">
        <v>21337</v>
      </c>
      <c r="M123" s="6">
        <v>50225</v>
      </c>
      <c r="N123" t="s">
        <v>26</v>
      </c>
      <c r="O123" t="str">
        <f t="shared" si="3"/>
        <v>Before</v>
      </c>
      <c r="P123" s="7">
        <v>0.11060049328031409</v>
      </c>
    </row>
    <row r="124" spans="1:16">
      <c r="A124" t="s">
        <v>169</v>
      </c>
      <c r="B124" t="s">
        <v>28</v>
      </c>
      <c r="C124" s="5">
        <v>45504</v>
      </c>
      <c r="D124" t="s">
        <v>40</v>
      </c>
      <c r="E124" t="s">
        <v>35</v>
      </c>
      <c r="F124" t="s">
        <v>36</v>
      </c>
      <c r="G124" t="str">
        <f t="shared" si="2"/>
        <v>#AppleEvent,#iPadPro</v>
      </c>
      <c r="H124" s="6">
        <v>13314</v>
      </c>
      <c r="I124" s="6">
        <v>274</v>
      </c>
      <c r="J124" s="6">
        <v>626</v>
      </c>
      <c r="K124" s="6">
        <v>2280</v>
      </c>
      <c r="L124" s="6">
        <v>14639</v>
      </c>
      <c r="M124" s="6">
        <v>163008</v>
      </c>
      <c r="N124" t="s">
        <v>37</v>
      </c>
      <c r="O124" t="str">
        <f t="shared" si="3"/>
        <v>During</v>
      </c>
      <c r="P124" s="7">
        <v>0.1100083174187193</v>
      </c>
    </row>
    <row r="125" spans="1:16">
      <c r="A125" t="s">
        <v>170</v>
      </c>
      <c r="B125" t="s">
        <v>28</v>
      </c>
      <c r="C125" s="5">
        <v>45745</v>
      </c>
      <c r="D125" t="s">
        <v>40</v>
      </c>
      <c r="E125" t="s">
        <v>30</v>
      </c>
      <c r="F125" t="s">
        <v>31</v>
      </c>
      <c r="G125" t="str">
        <f t="shared" si="2"/>
        <v>#AppleDesign,#Innovation</v>
      </c>
      <c r="H125" s="6">
        <v>23508</v>
      </c>
      <c r="I125" s="6">
        <v>585</v>
      </c>
      <c r="J125" s="6">
        <v>743</v>
      </c>
      <c r="K125" s="6">
        <v>2155</v>
      </c>
      <c r="L125" s="6">
        <v>3704</v>
      </c>
      <c r="M125" s="6">
        <v>194268</v>
      </c>
      <c r="N125" t="s">
        <v>37</v>
      </c>
      <c r="O125" t="str">
        <f t="shared" si="3"/>
        <v>During</v>
      </c>
      <c r="P125" s="7">
        <v>0.10978718103506099</v>
      </c>
    </row>
    <row r="126" spans="1:16">
      <c r="A126" t="s">
        <v>171</v>
      </c>
      <c r="B126" t="s">
        <v>17</v>
      </c>
      <c r="C126" s="5">
        <v>45594</v>
      </c>
      <c r="D126" t="s">
        <v>29</v>
      </c>
      <c r="E126" t="s">
        <v>35</v>
      </c>
      <c r="F126" t="s">
        <v>58</v>
      </c>
      <c r="G126" t="str">
        <f t="shared" si="2"/>
        <v>#AppleEvent,#iPhone16</v>
      </c>
      <c r="H126" s="6">
        <v>23969</v>
      </c>
      <c r="I126" s="6">
        <v>1433</v>
      </c>
      <c r="J126" s="6">
        <v>372</v>
      </c>
      <c r="K126" s="6">
        <v>1092</v>
      </c>
      <c r="L126" s="6">
        <v>32147</v>
      </c>
      <c r="M126" s="6">
        <v>145823</v>
      </c>
      <c r="N126" t="s">
        <v>32</v>
      </c>
      <c r="O126" t="str">
        <f t="shared" si="3"/>
        <v>Before</v>
      </c>
      <c r="P126" s="7">
        <v>0.10874593727575872</v>
      </c>
    </row>
    <row r="127" spans="1:16">
      <c r="A127" t="s">
        <v>172</v>
      </c>
      <c r="B127" t="s">
        <v>28</v>
      </c>
      <c r="C127" s="5">
        <v>45488</v>
      </c>
      <c r="D127" t="s">
        <v>29</v>
      </c>
      <c r="E127" t="s">
        <v>41</v>
      </c>
      <c r="F127" t="s">
        <v>42</v>
      </c>
      <c r="G127" t="str">
        <f t="shared" si="2"/>
        <v>#AppleMusic,#AppleLifestyle</v>
      </c>
      <c r="H127" s="6">
        <v>14891</v>
      </c>
      <c r="I127" s="6">
        <v>674</v>
      </c>
      <c r="J127" s="6">
        <v>521</v>
      </c>
      <c r="K127" s="6">
        <v>1091</v>
      </c>
      <c r="L127" s="6">
        <v>18101</v>
      </c>
      <c r="M127" s="6">
        <v>53669</v>
      </c>
      <c r="N127" t="s">
        <v>21</v>
      </c>
      <c r="O127" t="str">
        <f t="shared" si="3"/>
        <v>Before</v>
      </c>
      <c r="P127" s="7">
        <v>0.10871899083624094</v>
      </c>
    </row>
    <row r="128" spans="1:16">
      <c r="A128" t="s">
        <v>173</v>
      </c>
      <c r="B128" t="s">
        <v>23</v>
      </c>
      <c r="C128" s="5">
        <v>45933</v>
      </c>
      <c r="D128" t="s">
        <v>18</v>
      </c>
      <c r="E128" t="s">
        <v>49</v>
      </c>
      <c r="F128" t="s">
        <v>35</v>
      </c>
      <c r="G128" t="str">
        <f t="shared" si="2"/>
        <v>#iPhone16Launch,#AppleEvent</v>
      </c>
      <c r="H128" s="6">
        <v>6777</v>
      </c>
      <c r="I128" s="6">
        <v>617</v>
      </c>
      <c r="J128" s="6">
        <v>551</v>
      </c>
      <c r="K128" s="6">
        <v>2109</v>
      </c>
      <c r="L128" s="6">
        <v>18559</v>
      </c>
      <c r="M128" s="6">
        <v>208452</v>
      </c>
      <c r="N128" t="s">
        <v>26</v>
      </c>
      <c r="O128" t="str">
        <f t="shared" si="3"/>
        <v>Before</v>
      </c>
      <c r="P128" s="7">
        <v>0.10864742759968526</v>
      </c>
    </row>
    <row r="129" spans="1:16">
      <c r="A129" t="s">
        <v>174</v>
      </c>
      <c r="B129" t="s">
        <v>28</v>
      </c>
      <c r="C129" s="5">
        <v>45741</v>
      </c>
      <c r="D129" t="s">
        <v>40</v>
      </c>
      <c r="E129" t="s">
        <v>30</v>
      </c>
      <c r="F129" t="s">
        <v>31</v>
      </c>
      <c r="G129" t="str">
        <f t="shared" si="2"/>
        <v>#AppleDesign,#Innovation</v>
      </c>
      <c r="H129" s="6">
        <v>5900</v>
      </c>
      <c r="I129" s="6">
        <v>546</v>
      </c>
      <c r="J129" s="6">
        <v>592</v>
      </c>
      <c r="K129" s="6">
        <v>1594</v>
      </c>
      <c r="L129" s="6">
        <v>38627</v>
      </c>
      <c r="M129" s="6">
        <v>164398</v>
      </c>
      <c r="N129" t="s">
        <v>53</v>
      </c>
      <c r="O129" t="str">
        <f t="shared" si="3"/>
        <v>Before</v>
      </c>
      <c r="P129" s="7">
        <v>0.10829293628808864</v>
      </c>
    </row>
    <row r="130" spans="1:16">
      <c r="A130" t="s">
        <v>175</v>
      </c>
      <c r="B130" t="s">
        <v>23</v>
      </c>
      <c r="C130" s="5">
        <v>45567</v>
      </c>
      <c r="D130" t="s">
        <v>18</v>
      </c>
      <c r="E130" t="s">
        <v>30</v>
      </c>
      <c r="F130" t="s">
        <v>31</v>
      </c>
      <c r="G130" t="str">
        <f t="shared" ref="G130:G193" si="4">E130 &amp; "," &amp; F130</f>
        <v>#AppleDesign,#Innovation</v>
      </c>
      <c r="H130" s="6">
        <v>15716</v>
      </c>
      <c r="I130" s="6">
        <v>839</v>
      </c>
      <c r="J130" s="6">
        <v>639</v>
      </c>
      <c r="K130" s="6">
        <v>2839</v>
      </c>
      <c r="L130" s="6">
        <v>349</v>
      </c>
      <c r="M130" s="6">
        <v>150677</v>
      </c>
      <c r="N130" t="s">
        <v>32</v>
      </c>
      <c r="O130" t="str">
        <f t="shared" ref="O130:O193" si="5">IF(ISNUMBER(SEARCH("iPhone 16",N130)),"During","Before")</f>
        <v>Before</v>
      </c>
      <c r="P130" s="7">
        <v>0.1081177506528208</v>
      </c>
    </row>
    <row r="131" spans="1:16">
      <c r="A131" t="s">
        <v>176</v>
      </c>
      <c r="B131" t="s">
        <v>23</v>
      </c>
      <c r="C131" s="5">
        <v>45593</v>
      </c>
      <c r="D131" t="s">
        <v>40</v>
      </c>
      <c r="E131" t="s">
        <v>63</v>
      </c>
      <c r="F131" t="s">
        <v>64</v>
      </c>
      <c r="G131" t="str">
        <f t="shared" si="4"/>
        <v>#iPhonePhotography,#ShotOniPhone</v>
      </c>
      <c r="H131" s="6">
        <v>8981</v>
      </c>
      <c r="I131" s="6">
        <v>1138</v>
      </c>
      <c r="J131" s="6">
        <v>764</v>
      </c>
      <c r="K131" s="6">
        <v>2555</v>
      </c>
      <c r="L131" s="6">
        <v>92810</v>
      </c>
      <c r="M131" s="6">
        <v>88320</v>
      </c>
      <c r="N131" t="s">
        <v>53</v>
      </c>
      <c r="O131" t="str">
        <f t="shared" si="5"/>
        <v>Before</v>
      </c>
      <c r="P131" s="7">
        <v>0.10803076130152314</v>
      </c>
    </row>
    <row r="132" spans="1:16">
      <c r="A132" t="s">
        <v>177</v>
      </c>
      <c r="B132" t="s">
        <v>23</v>
      </c>
      <c r="C132" s="5">
        <v>45516</v>
      </c>
      <c r="D132" t="s">
        <v>40</v>
      </c>
      <c r="E132" t="s">
        <v>24</v>
      </c>
      <c r="F132" t="s">
        <v>25</v>
      </c>
      <c r="G132" t="str">
        <f t="shared" si="4"/>
        <v>#MacBookAirM3,#AppleInnovation</v>
      </c>
      <c r="H132" s="6">
        <v>8376</v>
      </c>
      <c r="I132" s="6">
        <v>1154</v>
      </c>
      <c r="J132" s="6">
        <v>422</v>
      </c>
      <c r="K132" s="6">
        <v>1907</v>
      </c>
      <c r="L132" s="6">
        <v>36874</v>
      </c>
      <c r="M132" s="6">
        <v>218486</v>
      </c>
      <c r="N132" t="s">
        <v>32</v>
      </c>
      <c r="O132" t="str">
        <f t="shared" si="5"/>
        <v>Before</v>
      </c>
      <c r="P132" s="7">
        <v>0.10670847106916652</v>
      </c>
    </row>
    <row r="133" spans="1:16">
      <c r="A133" t="s">
        <v>178</v>
      </c>
      <c r="B133" t="s">
        <v>17</v>
      </c>
      <c r="C133" s="5">
        <v>45448</v>
      </c>
      <c r="D133" t="s">
        <v>29</v>
      </c>
      <c r="E133" t="s">
        <v>63</v>
      </c>
      <c r="F133" t="s">
        <v>64</v>
      </c>
      <c r="G133" t="str">
        <f t="shared" si="4"/>
        <v>#iPhonePhotography,#ShotOniPhone</v>
      </c>
      <c r="H133" s="6">
        <v>18907</v>
      </c>
      <c r="I133" s="6">
        <v>1075</v>
      </c>
      <c r="J133" s="6">
        <v>675</v>
      </c>
      <c r="K133" s="6">
        <v>1383</v>
      </c>
      <c r="L133" s="6">
        <v>17875</v>
      </c>
      <c r="M133" s="6">
        <v>186649</v>
      </c>
      <c r="N133" t="s">
        <v>21</v>
      </c>
      <c r="O133" t="str">
        <f t="shared" si="5"/>
        <v>Before</v>
      </c>
      <c r="P133" s="7">
        <v>0.10659122031883833</v>
      </c>
    </row>
    <row r="134" spans="1:16">
      <c r="A134" t="s">
        <v>179</v>
      </c>
      <c r="B134" t="s">
        <v>17</v>
      </c>
      <c r="C134" s="5">
        <v>45586</v>
      </c>
      <c r="D134" t="s">
        <v>29</v>
      </c>
      <c r="E134" t="s">
        <v>49</v>
      </c>
      <c r="F134" t="s">
        <v>35</v>
      </c>
      <c r="G134" t="str">
        <f t="shared" si="4"/>
        <v>#iPhone16Launch,#AppleEvent</v>
      </c>
      <c r="H134" s="6">
        <v>20777</v>
      </c>
      <c r="I134" s="6">
        <v>962</v>
      </c>
      <c r="J134" s="6">
        <v>308</v>
      </c>
      <c r="K134" s="6">
        <v>2777</v>
      </c>
      <c r="L134" s="6">
        <v>25529</v>
      </c>
      <c r="M134" s="6">
        <v>165354</v>
      </c>
      <c r="N134" t="s">
        <v>21</v>
      </c>
      <c r="O134" t="str">
        <f t="shared" si="5"/>
        <v>Before</v>
      </c>
      <c r="P134" s="7">
        <v>0.10596732410380315</v>
      </c>
    </row>
    <row r="135" spans="1:16">
      <c r="A135" t="s">
        <v>180</v>
      </c>
      <c r="B135" t="s">
        <v>17</v>
      </c>
      <c r="C135" s="5">
        <v>45762</v>
      </c>
      <c r="D135" t="s">
        <v>34</v>
      </c>
      <c r="E135" t="s">
        <v>49</v>
      </c>
      <c r="F135" t="s">
        <v>35</v>
      </c>
      <c r="G135" t="str">
        <f t="shared" si="4"/>
        <v>#iPhone16Launch,#AppleEvent</v>
      </c>
      <c r="H135" s="6">
        <v>20977</v>
      </c>
      <c r="I135" s="6">
        <v>1402</v>
      </c>
      <c r="J135" s="6">
        <v>301</v>
      </c>
      <c r="K135" s="6">
        <v>1284</v>
      </c>
      <c r="L135" s="6">
        <v>24620</v>
      </c>
      <c r="M135" s="6">
        <v>128009</v>
      </c>
      <c r="N135" t="s">
        <v>21</v>
      </c>
      <c r="O135" t="str">
        <f t="shared" si="5"/>
        <v>Before</v>
      </c>
      <c r="P135" s="7">
        <v>0.10512949426976577</v>
      </c>
    </row>
    <row r="136" spans="1:16">
      <c r="A136" t="s">
        <v>181</v>
      </c>
      <c r="B136" t="s">
        <v>28</v>
      </c>
      <c r="C136" s="5">
        <v>45459</v>
      </c>
      <c r="D136" t="s">
        <v>29</v>
      </c>
      <c r="E136" t="s">
        <v>19</v>
      </c>
      <c r="F136" t="s">
        <v>20</v>
      </c>
      <c r="G136" t="str">
        <f t="shared" si="4"/>
        <v>#AppleWatchUltra2,#HealthTech</v>
      </c>
      <c r="H136" s="6">
        <v>12160</v>
      </c>
      <c r="I136" s="6">
        <v>1405</v>
      </c>
      <c r="J136" s="6">
        <v>769</v>
      </c>
      <c r="K136" s="6">
        <v>1980</v>
      </c>
      <c r="L136" s="6">
        <v>33174</v>
      </c>
      <c r="M136" s="6">
        <v>226481</v>
      </c>
      <c r="N136" t="s">
        <v>21</v>
      </c>
      <c r="O136" t="str">
        <f t="shared" si="5"/>
        <v>Before</v>
      </c>
      <c r="P136" s="7">
        <v>0.10364532397553165</v>
      </c>
    </row>
    <row r="137" spans="1:16">
      <c r="A137" t="s">
        <v>182</v>
      </c>
      <c r="B137" t="s">
        <v>23</v>
      </c>
      <c r="C137" s="5">
        <v>45526</v>
      </c>
      <c r="D137" t="s">
        <v>34</v>
      </c>
      <c r="E137" t="s">
        <v>63</v>
      </c>
      <c r="F137" t="s">
        <v>64</v>
      </c>
      <c r="G137" t="str">
        <f t="shared" si="4"/>
        <v>#iPhonePhotography,#ShotOniPhone</v>
      </c>
      <c r="H137" s="6">
        <v>16124</v>
      </c>
      <c r="I137" s="6">
        <v>863</v>
      </c>
      <c r="J137" s="6">
        <v>337</v>
      </c>
      <c r="K137" s="6">
        <v>819</v>
      </c>
      <c r="L137" s="6">
        <v>85788</v>
      </c>
      <c r="M137" s="6">
        <v>68625</v>
      </c>
      <c r="N137" t="s">
        <v>37</v>
      </c>
      <c r="O137" t="str">
        <f t="shared" si="5"/>
        <v>During</v>
      </c>
      <c r="P137" s="7">
        <v>0.10362355549205277</v>
      </c>
    </row>
    <row r="138" spans="1:16">
      <c r="A138" t="s">
        <v>183</v>
      </c>
      <c r="B138" t="s">
        <v>17</v>
      </c>
      <c r="C138" s="5">
        <v>45934</v>
      </c>
      <c r="D138" t="s">
        <v>34</v>
      </c>
      <c r="E138" t="s">
        <v>116</v>
      </c>
      <c r="F138" t="s">
        <v>117</v>
      </c>
      <c r="G138" t="str">
        <f t="shared" si="4"/>
        <v>#Sustainability,#AppleEarth</v>
      </c>
      <c r="H138" s="6">
        <v>12488</v>
      </c>
      <c r="I138" s="6">
        <v>1403</v>
      </c>
      <c r="J138" s="6">
        <v>247</v>
      </c>
      <c r="K138" s="6">
        <v>1350</v>
      </c>
      <c r="L138" s="6">
        <v>28370</v>
      </c>
      <c r="M138" s="6">
        <v>76487</v>
      </c>
      <c r="N138" t="s">
        <v>26</v>
      </c>
      <c r="O138" t="str">
        <f t="shared" si="5"/>
        <v>Before</v>
      </c>
      <c r="P138" s="7">
        <v>0.10312963124400662</v>
      </c>
    </row>
    <row r="139" spans="1:16">
      <c r="A139" t="s">
        <v>184</v>
      </c>
      <c r="B139" t="s">
        <v>28</v>
      </c>
      <c r="C139" s="5">
        <v>45658</v>
      </c>
      <c r="D139" t="s">
        <v>34</v>
      </c>
      <c r="E139" t="s">
        <v>24</v>
      </c>
      <c r="F139" t="s">
        <v>25</v>
      </c>
      <c r="G139" t="str">
        <f t="shared" si="4"/>
        <v>#MacBookAirM3,#AppleInnovation</v>
      </c>
      <c r="H139" s="6">
        <v>24574</v>
      </c>
      <c r="I139" s="6">
        <v>909</v>
      </c>
      <c r="J139" s="6">
        <v>280</v>
      </c>
      <c r="K139" s="6">
        <v>2009</v>
      </c>
      <c r="L139" s="6">
        <v>6221</v>
      </c>
      <c r="M139" s="6">
        <v>236910</v>
      </c>
      <c r="N139" t="s">
        <v>53</v>
      </c>
      <c r="O139" t="str">
        <f t="shared" si="5"/>
        <v>Before</v>
      </c>
      <c r="P139" s="7">
        <v>0.10217809465669957</v>
      </c>
    </row>
    <row r="140" spans="1:16">
      <c r="A140" t="s">
        <v>185</v>
      </c>
      <c r="B140" t="s">
        <v>17</v>
      </c>
      <c r="C140" s="5">
        <v>45574</v>
      </c>
      <c r="D140" t="s">
        <v>34</v>
      </c>
      <c r="E140" t="s">
        <v>49</v>
      </c>
      <c r="F140" t="s">
        <v>35</v>
      </c>
      <c r="G140" t="str">
        <f t="shared" si="4"/>
        <v>#iPhone16Launch,#AppleEvent</v>
      </c>
      <c r="H140" s="6">
        <v>7240</v>
      </c>
      <c r="I140" s="6">
        <v>1384</v>
      </c>
      <c r="J140" s="6">
        <v>954</v>
      </c>
      <c r="K140" s="6">
        <v>2335</v>
      </c>
      <c r="L140" s="6">
        <v>6757</v>
      </c>
      <c r="M140" s="6">
        <v>150448</v>
      </c>
      <c r="N140" t="s">
        <v>32</v>
      </c>
      <c r="O140" t="str">
        <f t="shared" si="5"/>
        <v>Before</v>
      </c>
      <c r="P140" s="7">
        <v>0.10099684784869674</v>
      </c>
    </row>
    <row r="141" spans="1:16">
      <c r="A141" t="s">
        <v>186</v>
      </c>
      <c r="B141" t="s">
        <v>28</v>
      </c>
      <c r="C141" s="5">
        <v>45647</v>
      </c>
      <c r="D141" t="s">
        <v>18</v>
      </c>
      <c r="E141" t="s">
        <v>19</v>
      </c>
      <c r="F141" t="s">
        <v>20</v>
      </c>
      <c r="G141" t="str">
        <f t="shared" si="4"/>
        <v>#AppleWatchUltra2,#HealthTech</v>
      </c>
      <c r="H141" s="6">
        <v>12453</v>
      </c>
      <c r="I141" s="6">
        <v>376</v>
      </c>
      <c r="J141" s="6">
        <v>320</v>
      </c>
      <c r="K141" s="6">
        <v>2546</v>
      </c>
      <c r="L141" s="6">
        <v>22617</v>
      </c>
      <c r="M141" s="6">
        <v>90138</v>
      </c>
      <c r="N141" t="s">
        <v>32</v>
      </c>
      <c r="O141" t="str">
        <f t="shared" si="5"/>
        <v>Before</v>
      </c>
      <c r="P141" s="7">
        <v>0.10041825619340902</v>
      </c>
    </row>
    <row r="142" spans="1:16">
      <c r="A142" t="s">
        <v>187</v>
      </c>
      <c r="B142" t="s">
        <v>48</v>
      </c>
      <c r="C142" s="5">
        <v>45587</v>
      </c>
      <c r="D142" t="s">
        <v>29</v>
      </c>
      <c r="E142" t="s">
        <v>41</v>
      </c>
      <c r="F142" t="s">
        <v>42</v>
      </c>
      <c r="G142" t="str">
        <f t="shared" si="4"/>
        <v>#AppleMusic,#AppleLifestyle</v>
      </c>
      <c r="H142" s="6">
        <v>12478</v>
      </c>
      <c r="I142" s="6">
        <v>484</v>
      </c>
      <c r="J142" s="6">
        <v>332</v>
      </c>
      <c r="K142" s="6">
        <v>2734</v>
      </c>
      <c r="L142" s="6">
        <v>43338</v>
      </c>
      <c r="M142" s="6">
        <v>213895</v>
      </c>
      <c r="N142" t="s">
        <v>37</v>
      </c>
      <c r="O142" t="str">
        <f t="shared" si="5"/>
        <v>During</v>
      </c>
      <c r="P142" s="7">
        <v>9.9723939463533293E-2</v>
      </c>
    </row>
    <row r="143" spans="1:16">
      <c r="A143" t="s">
        <v>188</v>
      </c>
      <c r="B143" t="s">
        <v>17</v>
      </c>
      <c r="C143" s="5">
        <v>45496</v>
      </c>
      <c r="D143" t="s">
        <v>34</v>
      </c>
      <c r="E143" t="s">
        <v>63</v>
      </c>
      <c r="F143" t="s">
        <v>64</v>
      </c>
      <c r="G143" t="str">
        <f t="shared" si="4"/>
        <v>#iPhonePhotography,#ShotOniPhone</v>
      </c>
      <c r="H143" s="6">
        <v>24877</v>
      </c>
      <c r="I143" s="6">
        <v>262</v>
      </c>
      <c r="J143" s="6">
        <v>513</v>
      </c>
      <c r="K143" s="6">
        <v>648</v>
      </c>
      <c r="L143" s="6">
        <v>47544</v>
      </c>
      <c r="M143" s="6">
        <v>208280</v>
      </c>
      <c r="N143" t="s">
        <v>32</v>
      </c>
      <c r="O143" t="str">
        <f t="shared" si="5"/>
        <v>Before</v>
      </c>
      <c r="P143" s="7">
        <v>9.9518533235992648E-2</v>
      </c>
    </row>
    <row r="144" spans="1:16">
      <c r="A144" t="s">
        <v>189</v>
      </c>
      <c r="B144" t="s">
        <v>48</v>
      </c>
      <c r="C144" s="5">
        <v>45515</v>
      </c>
      <c r="D144" t="s">
        <v>40</v>
      </c>
      <c r="E144" t="s">
        <v>24</v>
      </c>
      <c r="F144" t="s">
        <v>25</v>
      </c>
      <c r="G144" t="str">
        <f t="shared" si="4"/>
        <v>#MacBookAirM3,#AppleInnovation</v>
      </c>
      <c r="H144" s="6">
        <v>14394</v>
      </c>
      <c r="I144" s="6">
        <v>1202</v>
      </c>
      <c r="J144" s="6">
        <v>188</v>
      </c>
      <c r="K144" s="6">
        <v>1259</v>
      </c>
      <c r="L144" s="6">
        <v>21925</v>
      </c>
      <c r="M144" s="6">
        <v>94061</v>
      </c>
      <c r="N144" t="s">
        <v>37</v>
      </c>
      <c r="O144" t="str">
        <f t="shared" si="5"/>
        <v>During</v>
      </c>
      <c r="P144" s="7">
        <v>9.8433269628921807E-2</v>
      </c>
    </row>
    <row r="145" spans="1:16">
      <c r="A145" t="s">
        <v>190</v>
      </c>
      <c r="B145" t="s">
        <v>28</v>
      </c>
      <c r="C145" s="5">
        <v>45935</v>
      </c>
      <c r="D145" t="s">
        <v>29</v>
      </c>
      <c r="E145" t="s">
        <v>41</v>
      </c>
      <c r="F145" t="s">
        <v>42</v>
      </c>
      <c r="G145" t="str">
        <f t="shared" si="4"/>
        <v>#AppleMusic,#AppleLifestyle</v>
      </c>
      <c r="H145" s="6">
        <v>21262</v>
      </c>
      <c r="I145" s="6">
        <v>861</v>
      </c>
      <c r="J145" s="6">
        <v>676</v>
      </c>
      <c r="K145" s="6">
        <v>2263</v>
      </c>
      <c r="L145" s="6">
        <v>12085</v>
      </c>
      <c r="M145" s="6">
        <v>201731</v>
      </c>
      <c r="N145" t="s">
        <v>26</v>
      </c>
      <c r="O145" t="str">
        <f t="shared" si="5"/>
        <v>Before</v>
      </c>
      <c r="P145" s="7">
        <v>9.6549863964724647E-2</v>
      </c>
    </row>
    <row r="146" spans="1:16">
      <c r="A146" t="s">
        <v>191</v>
      </c>
      <c r="B146" t="s">
        <v>23</v>
      </c>
      <c r="C146" s="5">
        <v>45528</v>
      </c>
      <c r="D146" t="s">
        <v>29</v>
      </c>
      <c r="E146" t="s">
        <v>63</v>
      </c>
      <c r="F146" t="s">
        <v>64</v>
      </c>
      <c r="G146" t="str">
        <f t="shared" si="4"/>
        <v>#iPhonePhotography,#ShotOniPhone</v>
      </c>
      <c r="H146" s="6">
        <v>22527</v>
      </c>
      <c r="I146" s="6">
        <v>865</v>
      </c>
      <c r="J146" s="6">
        <v>646</v>
      </c>
      <c r="K146" s="6">
        <v>992</v>
      </c>
      <c r="L146" s="6">
        <v>18654</v>
      </c>
      <c r="M146" s="6">
        <v>141376</v>
      </c>
      <c r="N146" t="s">
        <v>53</v>
      </c>
      <c r="O146" t="str">
        <f t="shared" si="5"/>
        <v>Before</v>
      </c>
      <c r="P146" s="7">
        <v>9.6505955607260427E-2</v>
      </c>
    </row>
    <row r="147" spans="1:16">
      <c r="A147" t="s">
        <v>192</v>
      </c>
      <c r="B147" t="s">
        <v>17</v>
      </c>
      <c r="C147" s="5">
        <v>45936</v>
      </c>
      <c r="D147" t="s">
        <v>34</v>
      </c>
      <c r="E147" t="s">
        <v>30</v>
      </c>
      <c r="F147" t="s">
        <v>31</v>
      </c>
      <c r="G147" t="str">
        <f t="shared" si="4"/>
        <v>#AppleDesign,#Innovation</v>
      </c>
      <c r="H147" s="6">
        <v>22028</v>
      </c>
      <c r="I147" s="6">
        <v>355</v>
      </c>
      <c r="J147" s="6">
        <v>665</v>
      </c>
      <c r="K147" s="6">
        <v>1859</v>
      </c>
      <c r="L147" s="6">
        <v>50565</v>
      </c>
      <c r="M147" s="6">
        <v>202962</v>
      </c>
      <c r="N147" t="s">
        <v>26</v>
      </c>
      <c r="O147" t="str">
        <f t="shared" si="5"/>
        <v>Before</v>
      </c>
      <c r="P147" s="7">
        <v>9.6202058674637797E-2</v>
      </c>
    </row>
    <row r="148" spans="1:16">
      <c r="A148" t="s">
        <v>193</v>
      </c>
      <c r="B148" t="s">
        <v>28</v>
      </c>
      <c r="C148" s="5">
        <v>45748</v>
      </c>
      <c r="D148" t="s">
        <v>18</v>
      </c>
      <c r="E148" t="s">
        <v>41</v>
      </c>
      <c r="F148" t="s">
        <v>42</v>
      </c>
      <c r="G148" t="str">
        <f t="shared" si="4"/>
        <v>#AppleMusic,#AppleLifestyle</v>
      </c>
      <c r="H148" s="6">
        <v>6432</v>
      </c>
      <c r="I148" s="6">
        <v>1272</v>
      </c>
      <c r="J148" s="6">
        <v>498</v>
      </c>
      <c r="K148" s="6">
        <v>677</v>
      </c>
      <c r="L148" s="6">
        <v>47305</v>
      </c>
      <c r="M148" s="6">
        <v>119134</v>
      </c>
      <c r="N148" t="s">
        <v>21</v>
      </c>
      <c r="O148" t="str">
        <f t="shared" si="5"/>
        <v>Before</v>
      </c>
      <c r="P148" s="7">
        <v>9.5952649244304716E-2</v>
      </c>
    </row>
    <row r="149" spans="1:16">
      <c r="A149" t="s">
        <v>194</v>
      </c>
      <c r="B149" t="s">
        <v>23</v>
      </c>
      <c r="C149" s="5">
        <v>45755</v>
      </c>
      <c r="D149" t="s">
        <v>34</v>
      </c>
      <c r="E149" t="s">
        <v>19</v>
      </c>
      <c r="F149" t="s">
        <v>20</v>
      </c>
      <c r="G149" t="str">
        <f t="shared" si="4"/>
        <v>#AppleWatchUltra2,#HealthTech</v>
      </c>
      <c r="H149" s="6">
        <v>15568</v>
      </c>
      <c r="I149" s="6">
        <v>1166</v>
      </c>
      <c r="J149" s="6">
        <v>546</v>
      </c>
      <c r="K149" s="6">
        <v>826</v>
      </c>
      <c r="L149" s="6">
        <v>21836</v>
      </c>
      <c r="M149" s="6">
        <v>87055</v>
      </c>
      <c r="N149" t="s">
        <v>21</v>
      </c>
      <c r="O149" t="str">
        <f t="shared" si="5"/>
        <v>Before</v>
      </c>
      <c r="P149" s="7">
        <v>9.2062933989628198E-2</v>
      </c>
    </row>
    <row r="150" spans="1:16">
      <c r="A150" t="s">
        <v>195</v>
      </c>
      <c r="B150" t="s">
        <v>23</v>
      </c>
      <c r="C150" s="5">
        <v>45715</v>
      </c>
      <c r="D150" t="s">
        <v>18</v>
      </c>
      <c r="E150" t="s">
        <v>24</v>
      </c>
      <c r="F150" t="s">
        <v>25</v>
      </c>
      <c r="G150" t="str">
        <f t="shared" si="4"/>
        <v>#MacBookAirM3,#AppleInnovation</v>
      </c>
      <c r="H150" s="6">
        <v>16178</v>
      </c>
      <c r="I150" s="6">
        <v>1048</v>
      </c>
      <c r="J150" s="6">
        <v>871</v>
      </c>
      <c r="K150" s="6">
        <v>2553</v>
      </c>
      <c r="L150" s="6">
        <v>39025</v>
      </c>
      <c r="M150" s="6">
        <v>59508</v>
      </c>
      <c r="N150" t="s">
        <v>21</v>
      </c>
      <c r="O150" t="str">
        <f t="shared" si="5"/>
        <v>Before</v>
      </c>
      <c r="P150" s="7">
        <v>9.0574975498203203E-2</v>
      </c>
    </row>
    <row r="151" spans="1:16">
      <c r="A151" t="s">
        <v>196</v>
      </c>
      <c r="B151" t="s">
        <v>48</v>
      </c>
      <c r="C151" s="5">
        <v>45937</v>
      </c>
      <c r="D151" t="s">
        <v>40</v>
      </c>
      <c r="E151" t="s">
        <v>44</v>
      </c>
      <c r="F151" t="s">
        <v>45</v>
      </c>
      <c r="G151" t="str">
        <f t="shared" si="4"/>
        <v>#AppleWatch,#Health</v>
      </c>
      <c r="H151" s="6">
        <v>19660</v>
      </c>
      <c r="I151" s="6">
        <v>1307</v>
      </c>
      <c r="J151" s="6">
        <v>310</v>
      </c>
      <c r="K151" s="6">
        <v>2802</v>
      </c>
      <c r="L151" s="6">
        <v>22171</v>
      </c>
      <c r="M151" s="6">
        <v>213359</v>
      </c>
      <c r="N151" t="s">
        <v>26</v>
      </c>
      <c r="O151" t="str">
        <f t="shared" si="5"/>
        <v>Before</v>
      </c>
      <c r="P151" s="7">
        <v>9.0547119787900698E-2</v>
      </c>
    </row>
    <row r="152" spans="1:16">
      <c r="A152" t="s">
        <v>197</v>
      </c>
      <c r="B152" t="s">
        <v>28</v>
      </c>
      <c r="C152" s="5">
        <v>45704</v>
      </c>
      <c r="D152" t="s">
        <v>29</v>
      </c>
      <c r="E152" t="s">
        <v>35</v>
      </c>
      <c r="F152" t="s">
        <v>58</v>
      </c>
      <c r="G152" t="str">
        <f t="shared" si="4"/>
        <v>#AppleEvent,#iPhone16</v>
      </c>
      <c r="H152" s="6">
        <v>24195</v>
      </c>
      <c r="I152" s="6">
        <v>888</v>
      </c>
      <c r="J152" s="6">
        <v>165</v>
      </c>
      <c r="K152" s="6">
        <v>1559</v>
      </c>
      <c r="L152" s="6">
        <v>11596</v>
      </c>
      <c r="M152" s="6">
        <v>249988</v>
      </c>
      <c r="N152" t="s">
        <v>32</v>
      </c>
      <c r="O152" t="str">
        <f t="shared" si="5"/>
        <v>Before</v>
      </c>
      <c r="P152" s="7">
        <v>8.8536413153116805E-2</v>
      </c>
    </row>
    <row r="153" spans="1:16">
      <c r="A153" t="s">
        <v>198</v>
      </c>
      <c r="B153" t="s">
        <v>23</v>
      </c>
      <c r="C153" s="5">
        <v>45624</v>
      </c>
      <c r="D153" t="s">
        <v>40</v>
      </c>
      <c r="E153" t="s">
        <v>35</v>
      </c>
      <c r="F153" t="s">
        <v>58</v>
      </c>
      <c r="G153" t="str">
        <f t="shared" si="4"/>
        <v>#AppleEvent,#iPhone16</v>
      </c>
      <c r="H153" s="6">
        <v>2302</v>
      </c>
      <c r="I153" s="6">
        <v>347</v>
      </c>
      <c r="J153" s="6">
        <v>642</v>
      </c>
      <c r="K153" s="6">
        <v>2175</v>
      </c>
      <c r="L153" s="6">
        <v>56378</v>
      </c>
      <c r="M153" s="6">
        <v>198056</v>
      </c>
      <c r="N153" t="s">
        <v>53</v>
      </c>
      <c r="O153" t="str">
        <f t="shared" si="5"/>
        <v>Before</v>
      </c>
      <c r="P153" s="7">
        <v>8.8356499266606131E-2</v>
      </c>
    </row>
    <row r="154" spans="1:16">
      <c r="A154" t="s">
        <v>199</v>
      </c>
      <c r="B154" t="s">
        <v>17</v>
      </c>
      <c r="C154" s="5">
        <v>45608</v>
      </c>
      <c r="D154" t="s">
        <v>18</v>
      </c>
      <c r="E154" t="s">
        <v>24</v>
      </c>
      <c r="F154" t="s">
        <v>25</v>
      </c>
      <c r="G154" t="str">
        <f t="shared" si="4"/>
        <v>#MacBookAirM3,#AppleInnovation</v>
      </c>
      <c r="H154" s="6">
        <v>19022</v>
      </c>
      <c r="I154" s="6">
        <v>541</v>
      </c>
      <c r="J154" s="6">
        <v>575</v>
      </c>
      <c r="K154" s="6">
        <v>2063</v>
      </c>
      <c r="L154" s="6">
        <v>42743</v>
      </c>
      <c r="M154" s="6">
        <v>150169</v>
      </c>
      <c r="N154" t="s">
        <v>21</v>
      </c>
      <c r="O154" t="str">
        <f t="shared" si="5"/>
        <v>Before</v>
      </c>
      <c r="P154" s="7">
        <v>8.7989619657773091E-2</v>
      </c>
    </row>
    <row r="155" spans="1:16">
      <c r="A155" t="s">
        <v>200</v>
      </c>
      <c r="B155" t="s">
        <v>17</v>
      </c>
      <c r="C155" s="5">
        <v>45629</v>
      </c>
      <c r="D155" t="s">
        <v>18</v>
      </c>
      <c r="E155" t="s">
        <v>41</v>
      </c>
      <c r="F155" t="s">
        <v>42</v>
      </c>
      <c r="G155" t="str">
        <f t="shared" si="4"/>
        <v>#AppleMusic,#AppleLifestyle</v>
      </c>
      <c r="H155" s="6">
        <v>2055</v>
      </c>
      <c r="I155" s="6">
        <v>675</v>
      </c>
      <c r="J155" s="6">
        <v>257</v>
      </c>
      <c r="K155" s="6">
        <v>820</v>
      </c>
      <c r="L155" s="6">
        <v>33534</v>
      </c>
      <c r="M155" s="6">
        <v>48125</v>
      </c>
      <c r="N155" t="s">
        <v>21</v>
      </c>
      <c r="O155" t="str">
        <f t="shared" si="5"/>
        <v>Before</v>
      </c>
      <c r="P155" s="7">
        <v>8.7845440494590421E-2</v>
      </c>
    </row>
    <row r="156" spans="1:16">
      <c r="A156" t="s">
        <v>201</v>
      </c>
      <c r="B156" t="s">
        <v>48</v>
      </c>
      <c r="C156" s="5">
        <v>45775</v>
      </c>
      <c r="D156" t="s">
        <v>40</v>
      </c>
      <c r="E156" t="s">
        <v>63</v>
      </c>
      <c r="F156" t="s">
        <v>64</v>
      </c>
      <c r="G156" t="str">
        <f t="shared" si="4"/>
        <v>#iPhonePhotography,#ShotOniPhone</v>
      </c>
      <c r="H156" s="6">
        <v>15013</v>
      </c>
      <c r="I156" s="6">
        <v>1286</v>
      </c>
      <c r="J156" s="6">
        <v>599</v>
      </c>
      <c r="K156" s="6">
        <v>2001</v>
      </c>
      <c r="L156" s="6">
        <v>67839</v>
      </c>
      <c r="M156" s="6">
        <v>76059</v>
      </c>
      <c r="N156" t="s">
        <v>21</v>
      </c>
      <c r="O156" t="str">
        <f t="shared" si="5"/>
        <v>Before</v>
      </c>
      <c r="P156" s="7">
        <v>8.7198174322732622E-2</v>
      </c>
    </row>
    <row r="157" spans="1:16">
      <c r="A157" t="s">
        <v>202</v>
      </c>
      <c r="B157" t="s">
        <v>23</v>
      </c>
      <c r="C157" s="5">
        <v>45657</v>
      </c>
      <c r="D157" t="s">
        <v>18</v>
      </c>
      <c r="E157" t="s">
        <v>19</v>
      </c>
      <c r="F157" t="s">
        <v>20</v>
      </c>
      <c r="G157" t="str">
        <f t="shared" si="4"/>
        <v>#AppleWatchUltra2,#HealthTech</v>
      </c>
      <c r="H157" s="6">
        <v>10717</v>
      </c>
      <c r="I157" s="6">
        <v>760</v>
      </c>
      <c r="J157" s="6">
        <v>460</v>
      </c>
      <c r="K157" s="6">
        <v>1316</v>
      </c>
      <c r="L157" s="6">
        <v>18164</v>
      </c>
      <c r="M157" s="6">
        <v>240641</v>
      </c>
      <c r="N157" t="s">
        <v>53</v>
      </c>
      <c r="O157" t="str">
        <f t="shared" si="5"/>
        <v>Before</v>
      </c>
      <c r="P157" s="7">
        <v>8.6151909163708074E-2</v>
      </c>
    </row>
    <row r="158" spans="1:16">
      <c r="A158" t="s">
        <v>203</v>
      </c>
      <c r="B158" t="s">
        <v>28</v>
      </c>
      <c r="C158" s="5">
        <v>45518</v>
      </c>
      <c r="D158" t="s">
        <v>40</v>
      </c>
      <c r="E158" t="s">
        <v>116</v>
      </c>
      <c r="F158" t="s">
        <v>117</v>
      </c>
      <c r="G158" t="str">
        <f t="shared" si="4"/>
        <v>#Sustainability,#AppleEarth</v>
      </c>
      <c r="H158" s="6">
        <v>10150</v>
      </c>
      <c r="I158" s="6">
        <v>526</v>
      </c>
      <c r="J158" s="6">
        <v>888</v>
      </c>
      <c r="K158" s="6">
        <v>1313</v>
      </c>
      <c r="L158" s="6">
        <v>51605</v>
      </c>
      <c r="M158" s="6">
        <v>143409</v>
      </c>
      <c r="N158" t="s">
        <v>21</v>
      </c>
      <c r="O158" t="str">
        <f t="shared" si="5"/>
        <v>Before</v>
      </c>
      <c r="P158" s="7">
        <v>8.5718231771681114E-2</v>
      </c>
    </row>
    <row r="159" spans="1:16">
      <c r="A159" t="s">
        <v>204</v>
      </c>
      <c r="B159" t="s">
        <v>17</v>
      </c>
      <c r="C159" s="5">
        <v>45631</v>
      </c>
      <c r="D159" t="s">
        <v>29</v>
      </c>
      <c r="E159" t="s">
        <v>35</v>
      </c>
      <c r="F159" t="s">
        <v>58</v>
      </c>
      <c r="G159" t="str">
        <f t="shared" si="4"/>
        <v>#AppleEvent,#iPhone16</v>
      </c>
      <c r="H159" s="6">
        <v>4125</v>
      </c>
      <c r="I159" s="6">
        <v>1364</v>
      </c>
      <c r="J159" s="6">
        <v>319</v>
      </c>
      <c r="K159" s="6">
        <v>2848</v>
      </c>
      <c r="L159" s="6">
        <v>15379</v>
      </c>
      <c r="M159" s="6">
        <v>188159</v>
      </c>
      <c r="N159" t="s">
        <v>53</v>
      </c>
      <c r="O159" t="str">
        <f t="shared" si="5"/>
        <v>Before</v>
      </c>
      <c r="P159" s="7">
        <v>8.5321147219813445E-2</v>
      </c>
    </row>
    <row r="160" spans="1:16">
      <c r="A160" t="s">
        <v>205</v>
      </c>
      <c r="B160" t="s">
        <v>23</v>
      </c>
      <c r="C160" s="5">
        <v>45465</v>
      </c>
      <c r="D160" t="s">
        <v>40</v>
      </c>
      <c r="E160" t="s">
        <v>19</v>
      </c>
      <c r="F160" t="s">
        <v>20</v>
      </c>
      <c r="G160" t="str">
        <f t="shared" si="4"/>
        <v>#AppleWatchUltra2,#HealthTech</v>
      </c>
      <c r="H160" s="6">
        <v>13479</v>
      </c>
      <c r="I160" s="6">
        <v>1189</v>
      </c>
      <c r="J160" s="6">
        <v>695</v>
      </c>
      <c r="K160" s="6">
        <v>416</v>
      </c>
      <c r="L160" s="6">
        <v>30229</v>
      </c>
      <c r="M160" s="6">
        <v>45704</v>
      </c>
      <c r="N160" t="s">
        <v>21</v>
      </c>
      <c r="O160" t="str">
        <f t="shared" si="5"/>
        <v>Before</v>
      </c>
      <c r="P160" s="7">
        <v>8.5309568769905988E-2</v>
      </c>
    </row>
    <row r="161" spans="1:16">
      <c r="A161" t="s">
        <v>206</v>
      </c>
      <c r="B161" t="s">
        <v>23</v>
      </c>
      <c r="C161" s="5">
        <v>45938</v>
      </c>
      <c r="D161" t="s">
        <v>29</v>
      </c>
      <c r="E161" t="s">
        <v>35</v>
      </c>
      <c r="F161" t="s">
        <v>58</v>
      </c>
      <c r="G161" t="str">
        <f t="shared" si="4"/>
        <v>#AppleEvent,#iPhone16</v>
      </c>
      <c r="H161" s="6">
        <v>17745</v>
      </c>
      <c r="I161" s="6">
        <v>414</v>
      </c>
      <c r="J161" s="6">
        <v>563</v>
      </c>
      <c r="K161" s="6">
        <v>2733</v>
      </c>
      <c r="L161" s="6">
        <v>995</v>
      </c>
      <c r="M161" s="6">
        <v>231648</v>
      </c>
      <c r="N161" t="s">
        <v>26</v>
      </c>
      <c r="O161" t="str">
        <f t="shared" si="5"/>
        <v>Before</v>
      </c>
      <c r="P161" s="7">
        <v>8.5238674146441498E-2</v>
      </c>
    </row>
    <row r="162" spans="1:16">
      <c r="A162" t="s">
        <v>207</v>
      </c>
      <c r="B162" t="s">
        <v>48</v>
      </c>
      <c r="C162" s="5">
        <v>45939</v>
      </c>
      <c r="D162" t="s">
        <v>40</v>
      </c>
      <c r="E162" t="s">
        <v>30</v>
      </c>
      <c r="F162" t="s">
        <v>31</v>
      </c>
      <c r="G162" t="str">
        <f t="shared" si="4"/>
        <v>#AppleDesign,#Innovation</v>
      </c>
      <c r="H162" s="6">
        <v>18748</v>
      </c>
      <c r="I162" s="6">
        <v>634</v>
      </c>
      <c r="J162" s="6">
        <v>400</v>
      </c>
      <c r="K162" s="6">
        <v>1667</v>
      </c>
      <c r="L162" s="6">
        <v>75813</v>
      </c>
      <c r="M162" s="6">
        <v>244456</v>
      </c>
      <c r="N162" t="s">
        <v>26</v>
      </c>
      <c r="O162" t="str">
        <f t="shared" si="5"/>
        <v>Before</v>
      </c>
      <c r="P162" s="7">
        <v>8.4888593282341204E-2</v>
      </c>
    </row>
    <row r="163" spans="1:16">
      <c r="A163" t="s">
        <v>208</v>
      </c>
      <c r="B163" t="s">
        <v>17</v>
      </c>
      <c r="C163" s="5">
        <v>45483</v>
      </c>
      <c r="D163" t="s">
        <v>18</v>
      </c>
      <c r="E163" t="s">
        <v>63</v>
      </c>
      <c r="F163" t="s">
        <v>64</v>
      </c>
      <c r="G163" t="str">
        <f t="shared" si="4"/>
        <v>#iPhonePhotography,#ShotOniPhone</v>
      </c>
      <c r="H163" s="6">
        <v>8809</v>
      </c>
      <c r="I163" s="6">
        <v>1151</v>
      </c>
      <c r="J163" s="6">
        <v>908</v>
      </c>
      <c r="K163" s="6">
        <v>883</v>
      </c>
      <c r="L163" s="6">
        <v>42921</v>
      </c>
      <c r="M163" s="6">
        <v>151279</v>
      </c>
      <c r="N163" t="s">
        <v>53</v>
      </c>
      <c r="O163" t="str">
        <f t="shared" si="5"/>
        <v>Before</v>
      </c>
      <c r="P163" s="7">
        <v>8.4337252148083575E-2</v>
      </c>
    </row>
    <row r="164" spans="1:16">
      <c r="A164" t="s">
        <v>209</v>
      </c>
      <c r="B164" t="s">
        <v>17</v>
      </c>
      <c r="C164" s="5">
        <v>45940</v>
      </c>
      <c r="D164" t="s">
        <v>40</v>
      </c>
      <c r="E164" t="s">
        <v>30</v>
      </c>
      <c r="F164" t="s">
        <v>31</v>
      </c>
      <c r="G164" t="str">
        <f t="shared" si="4"/>
        <v>#AppleDesign,#Innovation</v>
      </c>
      <c r="H164" s="6">
        <v>6621</v>
      </c>
      <c r="I164" s="6">
        <v>922</v>
      </c>
      <c r="J164" s="6">
        <v>930</v>
      </c>
      <c r="K164" s="6">
        <v>694</v>
      </c>
      <c r="L164" s="6">
        <v>839</v>
      </c>
      <c r="M164" s="6">
        <v>243532</v>
      </c>
      <c r="N164" t="s">
        <v>26</v>
      </c>
      <c r="O164" t="str">
        <f t="shared" si="5"/>
        <v>Before</v>
      </c>
      <c r="P164" s="7">
        <v>8.2343527293641069E-2</v>
      </c>
    </row>
    <row r="165" spans="1:16">
      <c r="A165" t="s">
        <v>210</v>
      </c>
      <c r="B165" t="s">
        <v>28</v>
      </c>
      <c r="C165" s="5">
        <v>45488</v>
      </c>
      <c r="D165" t="s">
        <v>18</v>
      </c>
      <c r="E165" t="s">
        <v>35</v>
      </c>
      <c r="F165" t="s">
        <v>58</v>
      </c>
      <c r="G165" t="str">
        <f t="shared" si="4"/>
        <v>#AppleEvent,#iPhone16</v>
      </c>
      <c r="H165" s="6">
        <v>17034</v>
      </c>
      <c r="I165" s="6">
        <v>231</v>
      </c>
      <c r="J165" s="6">
        <v>290</v>
      </c>
      <c r="K165" s="6">
        <v>1387</v>
      </c>
      <c r="L165" s="6">
        <v>63550</v>
      </c>
      <c r="M165" s="6">
        <v>198280</v>
      </c>
      <c r="N165" t="s">
        <v>53</v>
      </c>
      <c r="O165" t="str">
        <f t="shared" si="5"/>
        <v>Before</v>
      </c>
      <c r="P165" s="7">
        <v>8.1455462004611998E-2</v>
      </c>
    </row>
    <row r="166" spans="1:16">
      <c r="A166" t="s">
        <v>211</v>
      </c>
      <c r="B166" t="s">
        <v>17</v>
      </c>
      <c r="C166" s="5">
        <v>45941</v>
      </c>
      <c r="D166" t="s">
        <v>40</v>
      </c>
      <c r="E166" t="s">
        <v>44</v>
      </c>
      <c r="F166" t="s">
        <v>45</v>
      </c>
      <c r="G166" t="str">
        <f t="shared" si="4"/>
        <v>#AppleWatch,#Health</v>
      </c>
      <c r="H166" s="6">
        <v>15623</v>
      </c>
      <c r="I166" s="6">
        <v>869</v>
      </c>
      <c r="J166" s="6">
        <v>423</v>
      </c>
      <c r="K166" s="6">
        <v>371</v>
      </c>
      <c r="L166" s="6">
        <v>47579</v>
      </c>
      <c r="M166" s="6">
        <v>158516</v>
      </c>
      <c r="N166" t="s">
        <v>26</v>
      </c>
      <c r="O166" t="str">
        <f t="shared" si="5"/>
        <v>Before</v>
      </c>
      <c r="P166" s="7">
        <v>8.0922538207284747E-2</v>
      </c>
    </row>
    <row r="167" spans="1:16">
      <c r="A167" t="s">
        <v>212</v>
      </c>
      <c r="B167" t="s">
        <v>28</v>
      </c>
      <c r="C167" s="5">
        <v>45942</v>
      </c>
      <c r="D167" t="s">
        <v>40</v>
      </c>
      <c r="E167" t="s">
        <v>44</v>
      </c>
      <c r="F167" t="s">
        <v>45</v>
      </c>
      <c r="G167" t="str">
        <f t="shared" si="4"/>
        <v>#AppleWatch,#Health</v>
      </c>
      <c r="H167" s="6">
        <v>7126</v>
      </c>
      <c r="I167" s="6">
        <v>484</v>
      </c>
      <c r="J167" s="6">
        <v>565</v>
      </c>
      <c r="K167" s="6">
        <v>573</v>
      </c>
      <c r="L167" s="6">
        <v>7389</v>
      </c>
      <c r="M167" s="6">
        <v>237096</v>
      </c>
      <c r="N167" t="s">
        <v>26</v>
      </c>
      <c r="O167" t="str">
        <f t="shared" si="5"/>
        <v>Before</v>
      </c>
      <c r="P167" s="7">
        <v>8.0820900676889074E-2</v>
      </c>
    </row>
    <row r="168" spans="1:16">
      <c r="A168" t="s">
        <v>213</v>
      </c>
      <c r="B168" t="s">
        <v>17</v>
      </c>
      <c r="C168" s="5">
        <v>45504</v>
      </c>
      <c r="D168" t="s">
        <v>34</v>
      </c>
      <c r="E168" t="s">
        <v>30</v>
      </c>
      <c r="F168" t="s">
        <v>31</v>
      </c>
      <c r="G168" t="str">
        <f t="shared" si="4"/>
        <v>#AppleDesign,#Innovation</v>
      </c>
      <c r="H168" s="6">
        <v>7122</v>
      </c>
      <c r="I168" s="6">
        <v>628</v>
      </c>
      <c r="J168" s="6">
        <v>757</v>
      </c>
      <c r="K168" s="6">
        <v>2313</v>
      </c>
      <c r="L168" s="6">
        <v>50924</v>
      </c>
      <c r="M168" s="6">
        <v>210954</v>
      </c>
      <c r="N168" t="s">
        <v>53</v>
      </c>
      <c r="O168" t="str">
        <f t="shared" si="5"/>
        <v>Before</v>
      </c>
      <c r="P168" s="7">
        <v>8.0670257330939563E-2</v>
      </c>
    </row>
    <row r="169" spans="1:16">
      <c r="A169" t="s">
        <v>214</v>
      </c>
      <c r="B169" t="s">
        <v>48</v>
      </c>
      <c r="C169" s="5">
        <v>45643</v>
      </c>
      <c r="D169" t="s">
        <v>18</v>
      </c>
      <c r="E169" t="s">
        <v>44</v>
      </c>
      <c r="F169" t="s">
        <v>45</v>
      </c>
      <c r="G169" t="str">
        <f t="shared" si="4"/>
        <v>#AppleWatch,#Health</v>
      </c>
      <c r="H169" s="6">
        <v>20030</v>
      </c>
      <c r="I169" s="6">
        <v>485</v>
      </c>
      <c r="J169" s="6">
        <v>888</v>
      </c>
      <c r="K169" s="6">
        <v>1643</v>
      </c>
      <c r="L169" s="6">
        <v>4322</v>
      </c>
      <c r="M169" s="6">
        <v>196995</v>
      </c>
      <c r="N169" t="s">
        <v>32</v>
      </c>
      <c r="O169" t="str">
        <f t="shared" si="5"/>
        <v>Before</v>
      </c>
      <c r="P169" s="7">
        <v>8.0636501195880311E-2</v>
      </c>
    </row>
    <row r="170" spans="1:16">
      <c r="A170" t="s">
        <v>215</v>
      </c>
      <c r="B170" t="s">
        <v>17</v>
      </c>
      <c r="C170" s="5">
        <v>45943</v>
      </c>
      <c r="D170" t="s">
        <v>34</v>
      </c>
      <c r="E170" t="s">
        <v>35</v>
      </c>
      <c r="F170" t="s">
        <v>58</v>
      </c>
      <c r="G170" t="str">
        <f t="shared" si="4"/>
        <v>#AppleEvent,#iPhone16</v>
      </c>
      <c r="H170" s="6">
        <v>19302</v>
      </c>
      <c r="I170" s="6">
        <v>1367</v>
      </c>
      <c r="J170" s="6">
        <v>188</v>
      </c>
      <c r="K170" s="6">
        <v>637</v>
      </c>
      <c r="L170" s="6">
        <v>31404</v>
      </c>
      <c r="M170" s="6">
        <v>154044</v>
      </c>
      <c r="N170" t="s">
        <v>26</v>
      </c>
      <c r="O170" t="str">
        <f t="shared" si="5"/>
        <v>Before</v>
      </c>
      <c r="P170" s="7">
        <v>7.9852471972601938E-2</v>
      </c>
    </row>
    <row r="171" spans="1:16">
      <c r="A171" t="s">
        <v>216</v>
      </c>
      <c r="B171" t="s">
        <v>28</v>
      </c>
      <c r="C171" s="5">
        <v>45668</v>
      </c>
      <c r="D171" t="s">
        <v>18</v>
      </c>
      <c r="E171" t="s">
        <v>24</v>
      </c>
      <c r="F171" t="s">
        <v>25</v>
      </c>
      <c r="G171" t="str">
        <f t="shared" si="4"/>
        <v>#MacBookAirM3,#AppleInnovation</v>
      </c>
      <c r="H171" s="6">
        <v>21181</v>
      </c>
      <c r="I171" s="6">
        <v>1242</v>
      </c>
      <c r="J171" s="6">
        <v>963</v>
      </c>
      <c r="K171" s="6">
        <v>1689</v>
      </c>
      <c r="L171" s="6">
        <v>49329</v>
      </c>
      <c r="M171" s="6">
        <v>69165</v>
      </c>
      <c r="N171" t="s">
        <v>21</v>
      </c>
      <c r="O171" t="str">
        <f t="shared" si="5"/>
        <v>Before</v>
      </c>
      <c r="P171" s="7">
        <v>7.9812047293514959E-2</v>
      </c>
    </row>
    <row r="172" spans="1:16">
      <c r="A172" t="s">
        <v>217</v>
      </c>
      <c r="B172" t="s">
        <v>28</v>
      </c>
      <c r="C172" s="5">
        <v>45528</v>
      </c>
      <c r="D172" t="s">
        <v>34</v>
      </c>
      <c r="E172" t="s">
        <v>30</v>
      </c>
      <c r="F172" t="s">
        <v>31</v>
      </c>
      <c r="G172" t="str">
        <f t="shared" si="4"/>
        <v>#AppleDesign,#Innovation</v>
      </c>
      <c r="H172" s="6">
        <v>24890</v>
      </c>
      <c r="I172" s="6">
        <v>217</v>
      </c>
      <c r="J172" s="6">
        <v>178</v>
      </c>
      <c r="K172" s="6">
        <v>906</v>
      </c>
      <c r="L172" s="6">
        <v>54826</v>
      </c>
      <c r="M172" s="6">
        <v>107203</v>
      </c>
      <c r="N172" t="s">
        <v>32</v>
      </c>
      <c r="O172" t="str">
        <f t="shared" si="5"/>
        <v>Before</v>
      </c>
      <c r="P172" s="7">
        <v>7.8807246729426739E-2</v>
      </c>
    </row>
    <row r="173" spans="1:16">
      <c r="A173" t="s">
        <v>218</v>
      </c>
      <c r="B173" t="s">
        <v>48</v>
      </c>
      <c r="C173" s="5">
        <v>45648</v>
      </c>
      <c r="D173" t="s">
        <v>29</v>
      </c>
      <c r="E173" t="s">
        <v>116</v>
      </c>
      <c r="F173" t="s">
        <v>117</v>
      </c>
      <c r="G173" t="str">
        <f t="shared" si="4"/>
        <v>#Sustainability,#AppleEarth</v>
      </c>
      <c r="H173" s="6">
        <v>7870</v>
      </c>
      <c r="I173" s="6">
        <v>968</v>
      </c>
      <c r="J173" s="6">
        <v>626</v>
      </c>
      <c r="K173" s="6">
        <v>465</v>
      </c>
      <c r="L173" s="6">
        <v>27184</v>
      </c>
      <c r="M173" s="6">
        <v>44114</v>
      </c>
      <c r="N173" t="s">
        <v>53</v>
      </c>
      <c r="O173" t="str">
        <f t="shared" si="5"/>
        <v>Before</v>
      </c>
      <c r="P173" s="7">
        <v>7.8063634938760881E-2</v>
      </c>
    </row>
    <row r="174" spans="1:16">
      <c r="A174" t="s">
        <v>219</v>
      </c>
      <c r="B174" t="s">
        <v>17</v>
      </c>
      <c r="C174" s="5">
        <v>45449</v>
      </c>
      <c r="D174" t="s">
        <v>40</v>
      </c>
      <c r="E174" t="s">
        <v>116</v>
      </c>
      <c r="F174" t="s">
        <v>117</v>
      </c>
      <c r="G174" t="str">
        <f t="shared" si="4"/>
        <v>#Sustainability,#AppleEarth</v>
      </c>
      <c r="H174" s="6">
        <v>3531</v>
      </c>
      <c r="I174" s="6">
        <v>789</v>
      </c>
      <c r="J174" s="6">
        <v>467</v>
      </c>
      <c r="K174" s="6">
        <v>1867</v>
      </c>
      <c r="L174" s="6">
        <v>40816</v>
      </c>
      <c r="M174" s="6">
        <v>236037</v>
      </c>
      <c r="N174" t="s">
        <v>32</v>
      </c>
      <c r="O174" t="str">
        <f t="shared" si="5"/>
        <v>Before</v>
      </c>
      <c r="P174" s="7">
        <v>7.7546772311798629E-2</v>
      </c>
    </row>
    <row r="175" spans="1:16">
      <c r="A175" t="s">
        <v>220</v>
      </c>
      <c r="B175" t="s">
        <v>48</v>
      </c>
      <c r="C175" s="5">
        <v>45569</v>
      </c>
      <c r="D175" t="s">
        <v>18</v>
      </c>
      <c r="E175" t="s">
        <v>41</v>
      </c>
      <c r="F175" t="s">
        <v>42</v>
      </c>
      <c r="G175" t="str">
        <f t="shared" si="4"/>
        <v>#AppleMusic,#AppleLifestyle</v>
      </c>
      <c r="H175" s="6">
        <v>21729</v>
      </c>
      <c r="I175" s="6">
        <v>1209</v>
      </c>
      <c r="J175" s="6">
        <v>897</v>
      </c>
      <c r="K175" s="6">
        <v>1624</v>
      </c>
      <c r="L175" s="6">
        <v>38771</v>
      </c>
      <c r="M175" s="6">
        <v>113297</v>
      </c>
      <c r="N175" t="s">
        <v>37</v>
      </c>
      <c r="O175" t="str">
        <f t="shared" si="5"/>
        <v>During</v>
      </c>
      <c r="P175" s="7">
        <v>7.7421297092723204E-2</v>
      </c>
    </row>
    <row r="176" spans="1:16">
      <c r="A176" t="s">
        <v>221</v>
      </c>
      <c r="B176" t="s">
        <v>17</v>
      </c>
      <c r="C176" s="5">
        <v>45944</v>
      </c>
      <c r="D176" t="s">
        <v>40</v>
      </c>
      <c r="E176" t="s">
        <v>63</v>
      </c>
      <c r="F176" t="s">
        <v>64</v>
      </c>
      <c r="G176" t="str">
        <f t="shared" si="4"/>
        <v>#iPhonePhotography,#ShotOniPhone</v>
      </c>
      <c r="H176" s="6">
        <v>9673</v>
      </c>
      <c r="I176" s="6">
        <v>393</v>
      </c>
      <c r="J176" s="6">
        <v>846</v>
      </c>
      <c r="K176" s="6">
        <v>1028</v>
      </c>
      <c r="L176" s="6">
        <v>55556</v>
      </c>
      <c r="M176" s="6">
        <v>136652</v>
      </c>
      <c r="N176" t="s">
        <v>26</v>
      </c>
      <c r="O176" t="str">
        <f t="shared" si="5"/>
        <v>Before</v>
      </c>
      <c r="P176" s="7">
        <v>7.7063185942944451E-2</v>
      </c>
    </row>
    <row r="177" spans="1:16">
      <c r="A177" t="s">
        <v>222</v>
      </c>
      <c r="B177" t="s">
        <v>17</v>
      </c>
      <c r="C177" s="5">
        <v>45945</v>
      </c>
      <c r="D177" t="s">
        <v>18</v>
      </c>
      <c r="E177" t="s">
        <v>44</v>
      </c>
      <c r="F177" t="s">
        <v>45</v>
      </c>
      <c r="G177" t="str">
        <f t="shared" si="4"/>
        <v>#AppleWatch,#Health</v>
      </c>
      <c r="H177" s="6">
        <v>8882</v>
      </c>
      <c r="I177" s="6">
        <v>701</v>
      </c>
      <c r="J177" s="6">
        <v>421</v>
      </c>
      <c r="K177" s="6">
        <v>2343</v>
      </c>
      <c r="L177" s="6">
        <v>13588</v>
      </c>
      <c r="M177" s="6">
        <v>139304</v>
      </c>
      <c r="N177" t="s">
        <v>26</v>
      </c>
      <c r="O177" t="str">
        <f t="shared" si="5"/>
        <v>Before</v>
      </c>
      <c r="P177" s="7">
        <v>7.6863476889667326E-2</v>
      </c>
    </row>
    <row r="178" spans="1:16">
      <c r="A178" t="s">
        <v>223</v>
      </c>
      <c r="B178" t="s">
        <v>28</v>
      </c>
      <c r="C178" s="5">
        <v>45546</v>
      </c>
      <c r="D178" t="s">
        <v>18</v>
      </c>
      <c r="E178" t="s">
        <v>44</v>
      </c>
      <c r="F178" t="s">
        <v>45</v>
      </c>
      <c r="G178" t="str">
        <f t="shared" si="4"/>
        <v>#AppleWatch,#Health</v>
      </c>
      <c r="H178" s="6">
        <v>3906</v>
      </c>
      <c r="I178" s="6">
        <v>1187</v>
      </c>
      <c r="J178" s="6">
        <v>589</v>
      </c>
      <c r="K178" s="6">
        <v>401</v>
      </c>
      <c r="L178" s="6">
        <v>52687</v>
      </c>
      <c r="M178" s="6">
        <v>196498</v>
      </c>
      <c r="N178" t="s">
        <v>21</v>
      </c>
      <c r="O178" t="str">
        <f t="shared" si="5"/>
        <v>Before</v>
      </c>
      <c r="P178" s="7">
        <v>7.6641109749832043E-2</v>
      </c>
    </row>
    <row r="179" spans="1:16">
      <c r="A179" t="s">
        <v>224</v>
      </c>
      <c r="B179" t="s">
        <v>17</v>
      </c>
      <c r="C179" s="5">
        <v>45567</v>
      </c>
      <c r="D179" t="s">
        <v>34</v>
      </c>
      <c r="E179" t="s">
        <v>41</v>
      </c>
      <c r="F179" t="s">
        <v>42</v>
      </c>
      <c r="G179" t="str">
        <f t="shared" si="4"/>
        <v>#AppleMusic,#AppleLifestyle</v>
      </c>
      <c r="H179" s="6">
        <v>5086</v>
      </c>
      <c r="I179" s="6">
        <v>1336</v>
      </c>
      <c r="J179" s="6">
        <v>897</v>
      </c>
      <c r="K179" s="6">
        <v>1715</v>
      </c>
      <c r="L179" s="6">
        <v>60592</v>
      </c>
      <c r="M179" s="6">
        <v>57772</v>
      </c>
      <c r="N179" t="s">
        <v>32</v>
      </c>
      <c r="O179" t="str">
        <f t="shared" si="5"/>
        <v>Before</v>
      </c>
      <c r="P179" s="7">
        <v>7.6089940988370866E-2</v>
      </c>
    </row>
    <row r="180" spans="1:16">
      <c r="A180" t="s">
        <v>225</v>
      </c>
      <c r="B180" t="s">
        <v>17</v>
      </c>
      <c r="C180" s="5">
        <v>45519</v>
      </c>
      <c r="D180" t="s">
        <v>18</v>
      </c>
      <c r="E180" t="s">
        <v>49</v>
      </c>
      <c r="F180" t="s">
        <v>35</v>
      </c>
      <c r="G180" t="str">
        <f t="shared" si="4"/>
        <v>#iPhone16Launch,#AppleEvent</v>
      </c>
      <c r="H180" s="6">
        <v>15503</v>
      </c>
      <c r="I180" s="6">
        <v>313</v>
      </c>
      <c r="J180" s="6">
        <v>388</v>
      </c>
      <c r="K180" s="6">
        <v>1078</v>
      </c>
      <c r="L180" s="6">
        <v>11500</v>
      </c>
      <c r="M180" s="6">
        <v>143754</v>
      </c>
      <c r="N180" t="s">
        <v>37</v>
      </c>
      <c r="O180" t="str">
        <f t="shared" si="5"/>
        <v>During</v>
      </c>
      <c r="P180" s="7">
        <v>7.5338585370546551E-2</v>
      </c>
    </row>
    <row r="181" spans="1:16">
      <c r="A181" t="s">
        <v>226</v>
      </c>
      <c r="B181" t="s">
        <v>48</v>
      </c>
      <c r="C181" s="5">
        <v>45587</v>
      </c>
      <c r="D181" t="s">
        <v>29</v>
      </c>
      <c r="E181" t="s">
        <v>30</v>
      </c>
      <c r="F181" t="s">
        <v>31</v>
      </c>
      <c r="G181" t="str">
        <f t="shared" si="4"/>
        <v>#AppleDesign,#Innovation</v>
      </c>
      <c r="H181" s="6">
        <v>7750</v>
      </c>
      <c r="I181" s="6">
        <v>1146</v>
      </c>
      <c r="J181" s="6">
        <v>415</v>
      </c>
      <c r="K181" s="6">
        <v>1411</v>
      </c>
      <c r="L181" s="6">
        <v>85339</v>
      </c>
      <c r="M181" s="6">
        <v>172439</v>
      </c>
      <c r="N181" t="s">
        <v>32</v>
      </c>
      <c r="O181" t="str">
        <f t="shared" si="5"/>
        <v>Before</v>
      </c>
      <c r="P181" s="7">
        <v>7.4591745018632791E-2</v>
      </c>
    </row>
    <row r="182" spans="1:16">
      <c r="A182" t="s">
        <v>227</v>
      </c>
      <c r="B182" t="s">
        <v>23</v>
      </c>
      <c r="C182" s="5">
        <v>45919</v>
      </c>
      <c r="D182" t="s">
        <v>40</v>
      </c>
      <c r="E182" t="s">
        <v>35</v>
      </c>
      <c r="F182" t="s">
        <v>36</v>
      </c>
      <c r="G182" t="str">
        <f t="shared" si="4"/>
        <v>#AppleEvent,#iPadPro</v>
      </c>
      <c r="H182" s="6">
        <v>14772</v>
      </c>
      <c r="I182" s="6">
        <v>1030</v>
      </c>
      <c r="J182" s="6">
        <v>508</v>
      </c>
      <c r="K182" s="6">
        <v>1876</v>
      </c>
      <c r="L182" s="6">
        <v>8882</v>
      </c>
      <c r="M182" s="6">
        <v>155142</v>
      </c>
      <c r="N182" t="s">
        <v>26</v>
      </c>
      <c r="O182" t="str">
        <f t="shared" si="5"/>
        <v>Before</v>
      </c>
      <c r="P182" s="7">
        <v>7.4453101321114656E-2</v>
      </c>
    </row>
    <row r="183" spans="1:16">
      <c r="A183" t="s">
        <v>228</v>
      </c>
      <c r="B183" t="s">
        <v>28</v>
      </c>
      <c r="C183" s="5">
        <v>45920</v>
      </c>
      <c r="D183" t="s">
        <v>18</v>
      </c>
      <c r="E183" t="s">
        <v>44</v>
      </c>
      <c r="F183" t="s">
        <v>45</v>
      </c>
      <c r="G183" t="str">
        <f t="shared" si="4"/>
        <v>#AppleWatch,#Health</v>
      </c>
      <c r="H183" s="6">
        <v>12267</v>
      </c>
      <c r="I183" s="6">
        <v>1487</v>
      </c>
      <c r="J183" s="6">
        <v>489</v>
      </c>
      <c r="K183" s="6">
        <v>2748</v>
      </c>
      <c r="L183" s="6">
        <v>34685</v>
      </c>
      <c r="M183" s="6">
        <v>131736</v>
      </c>
      <c r="N183" t="s">
        <v>26</v>
      </c>
      <c r="O183" t="str">
        <f t="shared" si="5"/>
        <v>Before</v>
      </c>
      <c r="P183" s="7">
        <v>7.3511726687321907E-2</v>
      </c>
    </row>
    <row r="184" spans="1:16">
      <c r="A184" t="s">
        <v>229</v>
      </c>
      <c r="B184" t="s">
        <v>17</v>
      </c>
      <c r="C184" s="5">
        <v>45754</v>
      </c>
      <c r="D184" t="s">
        <v>40</v>
      </c>
      <c r="E184" t="s">
        <v>63</v>
      </c>
      <c r="F184" t="s">
        <v>64</v>
      </c>
      <c r="G184" t="str">
        <f t="shared" si="4"/>
        <v>#iPhonePhotography,#ShotOniPhone</v>
      </c>
      <c r="H184" s="6">
        <v>3062</v>
      </c>
      <c r="I184" s="6">
        <v>1124</v>
      </c>
      <c r="J184" s="6">
        <v>538</v>
      </c>
      <c r="K184" s="6">
        <v>2935</v>
      </c>
      <c r="L184" s="6">
        <v>69749</v>
      </c>
      <c r="M184" s="6">
        <v>91924</v>
      </c>
      <c r="N184" t="s">
        <v>37</v>
      </c>
      <c r="O184" t="str">
        <f t="shared" si="5"/>
        <v>During</v>
      </c>
      <c r="P184" s="7">
        <v>7.3133856400324118E-2</v>
      </c>
    </row>
    <row r="185" spans="1:16">
      <c r="A185" t="s">
        <v>230</v>
      </c>
      <c r="B185" t="s">
        <v>23</v>
      </c>
      <c r="C185" s="5">
        <v>45921</v>
      </c>
      <c r="D185" t="s">
        <v>18</v>
      </c>
      <c r="E185" t="s">
        <v>116</v>
      </c>
      <c r="F185" t="s">
        <v>117</v>
      </c>
      <c r="G185" t="str">
        <f t="shared" si="4"/>
        <v>#Sustainability,#AppleEarth</v>
      </c>
      <c r="H185" s="6">
        <v>19680</v>
      </c>
      <c r="I185" s="6">
        <v>999</v>
      </c>
      <c r="J185" s="6">
        <v>838</v>
      </c>
      <c r="K185" s="6">
        <v>891</v>
      </c>
      <c r="L185" s="6">
        <v>29576</v>
      </c>
      <c r="M185" s="6">
        <v>129152</v>
      </c>
      <c r="N185" t="s">
        <v>26</v>
      </c>
      <c r="O185" t="str">
        <f t="shared" si="5"/>
        <v>Before</v>
      </c>
      <c r="P185" s="7">
        <v>7.306458375107093E-2</v>
      </c>
    </row>
    <row r="186" spans="1:16">
      <c r="A186" t="s">
        <v>231</v>
      </c>
      <c r="B186" t="s">
        <v>17</v>
      </c>
      <c r="C186" s="5">
        <v>45617</v>
      </c>
      <c r="D186" t="s">
        <v>18</v>
      </c>
      <c r="E186" t="s">
        <v>44</v>
      </c>
      <c r="F186" t="s">
        <v>45</v>
      </c>
      <c r="G186" t="str">
        <f t="shared" si="4"/>
        <v>#AppleWatch,#Health</v>
      </c>
      <c r="H186" s="6">
        <v>8229</v>
      </c>
      <c r="I186" s="6">
        <v>977</v>
      </c>
      <c r="J186" s="6">
        <v>152</v>
      </c>
      <c r="K186" s="6">
        <v>1633</v>
      </c>
      <c r="L186" s="6">
        <v>71447</v>
      </c>
      <c r="M186" s="6">
        <v>67723</v>
      </c>
      <c r="N186" t="s">
        <v>53</v>
      </c>
      <c r="O186" t="str">
        <f t="shared" si="5"/>
        <v>Before</v>
      </c>
      <c r="P186" s="7">
        <v>7.2176850630146963E-2</v>
      </c>
    </row>
    <row r="187" spans="1:16">
      <c r="A187" t="s">
        <v>232</v>
      </c>
      <c r="B187" t="s">
        <v>23</v>
      </c>
      <c r="C187" s="5">
        <v>45923</v>
      </c>
      <c r="D187" t="s">
        <v>29</v>
      </c>
      <c r="E187" t="s">
        <v>35</v>
      </c>
      <c r="F187" t="s">
        <v>58</v>
      </c>
      <c r="G187" t="str">
        <f t="shared" si="4"/>
        <v>#AppleEvent,#iPhone16</v>
      </c>
      <c r="H187" s="6">
        <v>17147</v>
      </c>
      <c r="I187" s="6">
        <v>286</v>
      </c>
      <c r="J187" s="6">
        <v>291</v>
      </c>
      <c r="K187" s="6">
        <v>2439</v>
      </c>
      <c r="L187" s="6">
        <v>45631</v>
      </c>
      <c r="M187" s="6">
        <v>140494</v>
      </c>
      <c r="N187" t="s">
        <v>26</v>
      </c>
      <c r="O187" t="str">
        <f t="shared" si="5"/>
        <v>Before</v>
      </c>
      <c r="P187" s="7">
        <v>7.1873307278774071E-2</v>
      </c>
    </row>
    <row r="188" spans="1:16">
      <c r="A188" t="s">
        <v>233</v>
      </c>
      <c r="B188" t="s">
        <v>28</v>
      </c>
      <c r="C188" s="5">
        <v>45467</v>
      </c>
      <c r="D188" t="s">
        <v>18</v>
      </c>
      <c r="E188" t="s">
        <v>35</v>
      </c>
      <c r="F188" t="s">
        <v>58</v>
      </c>
      <c r="G188" t="str">
        <f t="shared" si="4"/>
        <v>#AppleEvent,#iPhone16</v>
      </c>
      <c r="H188" s="6">
        <v>6632</v>
      </c>
      <c r="I188" s="6">
        <v>254</v>
      </c>
      <c r="J188" s="6">
        <v>525</v>
      </c>
      <c r="K188" s="6">
        <v>1013</v>
      </c>
      <c r="L188" s="6">
        <v>13838</v>
      </c>
      <c r="M188" s="6">
        <v>180180</v>
      </c>
      <c r="N188" t="s">
        <v>21</v>
      </c>
      <c r="O188" t="str">
        <f t="shared" si="5"/>
        <v>Before</v>
      </c>
      <c r="P188" s="7">
        <v>7.1840771025720687E-2</v>
      </c>
    </row>
    <row r="189" spans="1:16">
      <c r="A189" t="s">
        <v>234</v>
      </c>
      <c r="B189" t="s">
        <v>23</v>
      </c>
      <c r="C189" s="5">
        <v>45467</v>
      </c>
      <c r="D189" t="s">
        <v>29</v>
      </c>
      <c r="E189" t="s">
        <v>24</v>
      </c>
      <c r="F189" t="s">
        <v>25</v>
      </c>
      <c r="G189" t="str">
        <f t="shared" si="4"/>
        <v>#MacBookAirM3,#AppleInnovation</v>
      </c>
      <c r="H189" s="6">
        <v>5596</v>
      </c>
      <c r="I189" s="6">
        <v>1231</v>
      </c>
      <c r="J189" s="6">
        <v>473</v>
      </c>
      <c r="K189" s="6">
        <v>2251</v>
      </c>
      <c r="L189" s="6">
        <v>43705</v>
      </c>
      <c r="M189" s="6">
        <v>75643</v>
      </c>
      <c r="N189" t="s">
        <v>21</v>
      </c>
      <c r="O189" t="str">
        <f t="shared" si="5"/>
        <v>Before</v>
      </c>
      <c r="P189" s="7">
        <v>7.1814161833113191E-2</v>
      </c>
    </row>
    <row r="190" spans="1:16">
      <c r="A190" t="s">
        <v>235</v>
      </c>
      <c r="B190" t="s">
        <v>48</v>
      </c>
      <c r="C190" s="5">
        <v>45735</v>
      </c>
      <c r="D190" t="s">
        <v>40</v>
      </c>
      <c r="E190" t="s">
        <v>35</v>
      </c>
      <c r="F190" t="s">
        <v>36</v>
      </c>
      <c r="G190" t="str">
        <f t="shared" si="4"/>
        <v>#AppleEvent,#iPadPro</v>
      </c>
      <c r="H190" s="6">
        <v>13475</v>
      </c>
      <c r="I190" s="6">
        <v>1032</v>
      </c>
      <c r="J190" s="6">
        <v>295</v>
      </c>
      <c r="K190" s="6">
        <v>541</v>
      </c>
      <c r="L190" s="6">
        <v>43666</v>
      </c>
      <c r="M190" s="6">
        <v>202396</v>
      </c>
      <c r="N190" t="s">
        <v>53</v>
      </c>
      <c r="O190" t="str">
        <f t="shared" si="5"/>
        <v>Before</v>
      </c>
      <c r="P190" s="7">
        <v>7.0768897853825175E-2</v>
      </c>
    </row>
    <row r="191" spans="1:16">
      <c r="A191" t="s">
        <v>236</v>
      </c>
      <c r="B191" t="s">
        <v>28</v>
      </c>
      <c r="C191" s="5">
        <v>45707</v>
      </c>
      <c r="D191" t="s">
        <v>34</v>
      </c>
      <c r="E191" t="s">
        <v>49</v>
      </c>
      <c r="F191" t="s">
        <v>35</v>
      </c>
      <c r="G191" t="str">
        <f t="shared" si="4"/>
        <v>#iPhone16Launch,#AppleEvent</v>
      </c>
      <c r="H191" s="6">
        <v>8168</v>
      </c>
      <c r="I191" s="6">
        <v>512</v>
      </c>
      <c r="J191" s="6">
        <v>442</v>
      </c>
      <c r="K191" s="6">
        <v>2343</v>
      </c>
      <c r="L191" s="6">
        <v>2753</v>
      </c>
      <c r="M191" s="6">
        <v>143896</v>
      </c>
      <c r="N191" t="s">
        <v>53</v>
      </c>
      <c r="O191" t="str">
        <f t="shared" si="5"/>
        <v>Before</v>
      </c>
      <c r="P191" s="7">
        <v>7.0457057720959296E-2</v>
      </c>
    </row>
    <row r="192" spans="1:16">
      <c r="A192" t="s">
        <v>237</v>
      </c>
      <c r="B192" t="s">
        <v>17</v>
      </c>
      <c r="C192" s="5">
        <v>45719</v>
      </c>
      <c r="D192" t="s">
        <v>34</v>
      </c>
      <c r="E192" t="s">
        <v>19</v>
      </c>
      <c r="F192" t="s">
        <v>20</v>
      </c>
      <c r="G192" t="str">
        <f t="shared" si="4"/>
        <v>#AppleWatchUltra2,#HealthTech</v>
      </c>
      <c r="H192" s="6">
        <v>9561</v>
      </c>
      <c r="I192" s="6">
        <v>642</v>
      </c>
      <c r="J192" s="6">
        <v>581</v>
      </c>
      <c r="K192" s="6">
        <v>2572</v>
      </c>
      <c r="L192" s="6">
        <v>38552</v>
      </c>
      <c r="M192" s="6">
        <v>133680</v>
      </c>
      <c r="N192" t="s">
        <v>21</v>
      </c>
      <c r="O192" t="str">
        <f t="shared" si="5"/>
        <v>Before</v>
      </c>
      <c r="P192" s="7">
        <v>6.999487361489018E-2</v>
      </c>
    </row>
    <row r="193" spans="1:16">
      <c r="A193" t="s">
        <v>238</v>
      </c>
      <c r="B193" t="s">
        <v>28</v>
      </c>
      <c r="C193" s="5">
        <v>45778</v>
      </c>
      <c r="D193" t="s">
        <v>29</v>
      </c>
      <c r="E193" t="s">
        <v>49</v>
      </c>
      <c r="F193" t="s">
        <v>35</v>
      </c>
      <c r="G193" t="str">
        <f t="shared" si="4"/>
        <v>#iPhone16Launch,#AppleEvent</v>
      </c>
      <c r="H193" s="6">
        <v>10258</v>
      </c>
      <c r="I193" s="6">
        <v>527</v>
      </c>
      <c r="J193" s="6">
        <v>854</v>
      </c>
      <c r="K193" s="6">
        <v>2068</v>
      </c>
      <c r="L193" s="6">
        <v>45632</v>
      </c>
      <c r="M193" s="6">
        <v>136546</v>
      </c>
      <c r="N193" t="s">
        <v>53</v>
      </c>
      <c r="O193" t="str">
        <f t="shared" si="5"/>
        <v>Before</v>
      </c>
      <c r="P193" s="7">
        <v>6.9427799135654514E-2</v>
      </c>
    </row>
    <row r="194" spans="1:16">
      <c r="A194" t="s">
        <v>239</v>
      </c>
      <c r="B194" t="s">
        <v>17</v>
      </c>
      <c r="C194" s="5">
        <v>45649</v>
      </c>
      <c r="D194" t="s">
        <v>34</v>
      </c>
      <c r="E194" t="s">
        <v>30</v>
      </c>
      <c r="F194" t="s">
        <v>31</v>
      </c>
      <c r="G194" t="str">
        <f t="shared" ref="G194:G257" si="6">E194 &amp; "," &amp; F194</f>
        <v>#AppleDesign,#Innovation</v>
      </c>
      <c r="H194" s="6">
        <v>18616</v>
      </c>
      <c r="I194" s="6">
        <v>1277</v>
      </c>
      <c r="J194" s="6">
        <v>734</v>
      </c>
      <c r="K194" s="6">
        <v>2249</v>
      </c>
      <c r="L194" s="6">
        <v>3399</v>
      </c>
      <c r="M194" s="6">
        <v>193515</v>
      </c>
      <c r="N194" t="s">
        <v>37</v>
      </c>
      <c r="O194" t="str">
        <f t="shared" ref="O194:O257" si="7">IF(ISNUMBER(SEARCH("iPhone 16",N194)),"During","Before")</f>
        <v>During</v>
      </c>
      <c r="P194" s="7">
        <v>6.9049421433978589E-2</v>
      </c>
    </row>
    <row r="195" spans="1:16">
      <c r="A195" t="s">
        <v>240</v>
      </c>
      <c r="B195" t="s">
        <v>17</v>
      </c>
      <c r="C195" s="5">
        <v>45925</v>
      </c>
      <c r="D195" t="s">
        <v>34</v>
      </c>
      <c r="E195" t="s">
        <v>63</v>
      </c>
      <c r="F195" t="s">
        <v>64</v>
      </c>
      <c r="G195" t="str">
        <f t="shared" si="6"/>
        <v>#iPhonePhotography,#ShotOniPhone</v>
      </c>
      <c r="H195" s="6">
        <v>8371</v>
      </c>
      <c r="I195" s="6">
        <v>960</v>
      </c>
      <c r="J195" s="6">
        <v>548</v>
      </c>
      <c r="K195" s="6">
        <v>2936</v>
      </c>
      <c r="L195" s="6">
        <v>82543</v>
      </c>
      <c r="M195" s="6">
        <v>119973</v>
      </c>
      <c r="N195" t="s">
        <v>26</v>
      </c>
      <c r="O195" t="str">
        <f t="shared" si="7"/>
        <v>Before</v>
      </c>
      <c r="P195" s="7">
        <v>6.8868359157149436E-2</v>
      </c>
    </row>
    <row r="196" spans="1:16">
      <c r="A196" t="s">
        <v>241</v>
      </c>
      <c r="B196" t="s">
        <v>28</v>
      </c>
      <c r="C196" s="5">
        <v>45502</v>
      </c>
      <c r="D196" t="s">
        <v>29</v>
      </c>
      <c r="E196" t="s">
        <v>19</v>
      </c>
      <c r="F196" t="s">
        <v>20</v>
      </c>
      <c r="G196" t="str">
        <f t="shared" si="6"/>
        <v>#AppleWatchUltra2,#HealthTech</v>
      </c>
      <c r="H196" s="6">
        <v>22590</v>
      </c>
      <c r="I196" s="6">
        <v>1462</v>
      </c>
      <c r="J196" s="6">
        <v>966</v>
      </c>
      <c r="K196" s="6">
        <v>2463</v>
      </c>
      <c r="L196" s="6">
        <v>29689</v>
      </c>
      <c r="M196" s="6">
        <v>103449</v>
      </c>
      <c r="N196" t="s">
        <v>32</v>
      </c>
      <c r="O196" t="str">
        <f t="shared" si="7"/>
        <v>Before</v>
      </c>
      <c r="P196" s="7">
        <v>6.8846844729464299E-2</v>
      </c>
    </row>
    <row r="197" spans="1:16">
      <c r="A197" t="s">
        <v>242</v>
      </c>
      <c r="B197" t="s">
        <v>23</v>
      </c>
      <c r="C197" s="5">
        <v>45926</v>
      </c>
      <c r="D197" t="s">
        <v>40</v>
      </c>
      <c r="E197" t="s">
        <v>19</v>
      </c>
      <c r="F197" t="s">
        <v>20</v>
      </c>
      <c r="G197" t="str">
        <f t="shared" si="6"/>
        <v>#AppleWatchUltra2,#HealthTech</v>
      </c>
      <c r="H197" s="6">
        <v>16369</v>
      </c>
      <c r="I197" s="6">
        <v>1452</v>
      </c>
      <c r="J197" s="6">
        <v>493</v>
      </c>
      <c r="K197" s="6">
        <v>1217</v>
      </c>
      <c r="L197" s="6">
        <v>91440</v>
      </c>
      <c r="M197" s="6">
        <v>149834</v>
      </c>
      <c r="N197" t="s">
        <v>26</v>
      </c>
      <c r="O197" t="str">
        <f t="shared" si="7"/>
        <v>Before</v>
      </c>
      <c r="P197" s="7">
        <v>6.7889190344053579E-2</v>
      </c>
    </row>
    <row r="198" spans="1:16">
      <c r="A198" t="s">
        <v>243</v>
      </c>
      <c r="B198" t="s">
        <v>23</v>
      </c>
      <c r="C198" s="5">
        <v>45685</v>
      </c>
      <c r="D198" t="s">
        <v>40</v>
      </c>
      <c r="E198" t="s">
        <v>41</v>
      </c>
      <c r="F198" t="s">
        <v>42</v>
      </c>
      <c r="G198" t="str">
        <f t="shared" si="6"/>
        <v>#AppleMusic,#AppleLifestyle</v>
      </c>
      <c r="H198" s="6">
        <v>9943</v>
      </c>
      <c r="I198" s="6">
        <v>1274</v>
      </c>
      <c r="J198" s="6">
        <v>336</v>
      </c>
      <c r="K198" s="6">
        <v>389</v>
      </c>
      <c r="L198" s="6">
        <v>6145</v>
      </c>
      <c r="M198" s="6">
        <v>231305</v>
      </c>
      <c r="N198" t="s">
        <v>21</v>
      </c>
      <c r="O198" t="str">
        <f t="shared" si="7"/>
        <v>Before</v>
      </c>
      <c r="P198" s="7">
        <v>6.7626313371268162E-2</v>
      </c>
    </row>
    <row r="199" spans="1:16">
      <c r="A199" t="s">
        <v>244</v>
      </c>
      <c r="B199" t="s">
        <v>17</v>
      </c>
      <c r="C199" s="5">
        <v>45445</v>
      </c>
      <c r="D199" t="s">
        <v>34</v>
      </c>
      <c r="E199" t="s">
        <v>24</v>
      </c>
      <c r="F199" t="s">
        <v>25</v>
      </c>
      <c r="G199" t="str">
        <f t="shared" si="6"/>
        <v>#MacBookAirM3,#AppleInnovation</v>
      </c>
      <c r="H199" s="6">
        <v>14199</v>
      </c>
      <c r="I199" s="6">
        <v>1206</v>
      </c>
      <c r="J199" s="6">
        <v>954</v>
      </c>
      <c r="K199" s="6">
        <v>2009</v>
      </c>
      <c r="L199" s="6">
        <v>8</v>
      </c>
      <c r="M199" s="6">
        <v>65537</v>
      </c>
      <c r="N199" t="s">
        <v>32</v>
      </c>
      <c r="O199" t="str">
        <f t="shared" si="7"/>
        <v>Before</v>
      </c>
      <c r="P199" s="7">
        <v>6.5882285746922925E-2</v>
      </c>
    </row>
    <row r="200" spans="1:16">
      <c r="A200" t="s">
        <v>245</v>
      </c>
      <c r="B200" t="s">
        <v>17</v>
      </c>
      <c r="C200" s="5">
        <v>45739</v>
      </c>
      <c r="D200" t="s">
        <v>40</v>
      </c>
      <c r="E200" t="s">
        <v>41</v>
      </c>
      <c r="F200" t="s">
        <v>42</v>
      </c>
      <c r="G200" t="str">
        <f t="shared" si="6"/>
        <v>#AppleMusic,#AppleLifestyle</v>
      </c>
      <c r="H200" s="6">
        <v>17728</v>
      </c>
      <c r="I200" s="6">
        <v>1487</v>
      </c>
      <c r="J200" s="6">
        <v>210</v>
      </c>
      <c r="K200" s="6">
        <v>2469</v>
      </c>
      <c r="L200" s="6">
        <v>30565</v>
      </c>
      <c r="M200" s="6">
        <v>117576</v>
      </c>
      <c r="N200" t="s">
        <v>21</v>
      </c>
      <c r="O200" t="str">
        <f t="shared" si="7"/>
        <v>Before</v>
      </c>
      <c r="P200" s="7">
        <v>6.4684720300454635E-2</v>
      </c>
    </row>
    <row r="201" spans="1:16">
      <c r="A201" t="s">
        <v>246</v>
      </c>
      <c r="B201" t="s">
        <v>48</v>
      </c>
      <c r="C201" s="5">
        <v>45608</v>
      </c>
      <c r="D201" t="s">
        <v>34</v>
      </c>
      <c r="E201" t="s">
        <v>30</v>
      </c>
      <c r="F201" t="s">
        <v>31</v>
      </c>
      <c r="G201" t="str">
        <f t="shared" si="6"/>
        <v>#AppleDesign,#Innovation</v>
      </c>
      <c r="H201" s="6">
        <v>17913</v>
      </c>
      <c r="I201" s="6">
        <v>1311</v>
      </c>
      <c r="J201" s="6">
        <v>859</v>
      </c>
      <c r="K201" s="6">
        <v>405</v>
      </c>
      <c r="L201" s="6">
        <v>59842</v>
      </c>
      <c r="M201" s="6">
        <v>62612</v>
      </c>
      <c r="N201" t="s">
        <v>32</v>
      </c>
      <c r="O201" t="str">
        <f t="shared" si="7"/>
        <v>Before</v>
      </c>
      <c r="P201" s="7">
        <v>6.3663192598106988E-2</v>
      </c>
    </row>
    <row r="202" spans="1:16">
      <c r="A202" t="s">
        <v>247</v>
      </c>
      <c r="B202" t="s">
        <v>23</v>
      </c>
      <c r="C202" s="5">
        <v>45907</v>
      </c>
      <c r="D202" t="s">
        <v>29</v>
      </c>
      <c r="E202" t="s">
        <v>116</v>
      </c>
      <c r="F202" t="s">
        <v>117</v>
      </c>
      <c r="G202" t="str">
        <f t="shared" si="6"/>
        <v>#Sustainability,#AppleEarth</v>
      </c>
      <c r="H202" s="6">
        <v>4472</v>
      </c>
      <c r="I202" s="6">
        <v>1301</v>
      </c>
      <c r="J202" s="6">
        <v>956</v>
      </c>
      <c r="K202" s="6">
        <v>1186</v>
      </c>
      <c r="L202" s="6">
        <v>3363</v>
      </c>
      <c r="M202" s="6">
        <v>46471</v>
      </c>
      <c r="N202" t="s">
        <v>26</v>
      </c>
      <c r="O202" t="str">
        <f t="shared" si="7"/>
        <v>Before</v>
      </c>
      <c r="P202" s="7">
        <v>6.3393006059932172E-2</v>
      </c>
    </row>
    <row r="203" spans="1:16">
      <c r="A203" t="s">
        <v>248</v>
      </c>
      <c r="B203" t="s">
        <v>48</v>
      </c>
      <c r="C203" s="5">
        <v>45463</v>
      </c>
      <c r="D203" t="s">
        <v>34</v>
      </c>
      <c r="E203" t="s">
        <v>44</v>
      </c>
      <c r="F203" t="s">
        <v>45</v>
      </c>
      <c r="G203" t="str">
        <f t="shared" si="6"/>
        <v>#AppleWatch,#Health</v>
      </c>
      <c r="H203" s="6">
        <v>21123</v>
      </c>
      <c r="I203" s="6">
        <v>1343</v>
      </c>
      <c r="J203" s="6">
        <v>589</v>
      </c>
      <c r="K203" s="6">
        <v>727</v>
      </c>
      <c r="L203" s="6">
        <v>87833</v>
      </c>
      <c r="M203" s="6">
        <v>206703</v>
      </c>
      <c r="N203" t="s">
        <v>21</v>
      </c>
      <c r="O203" t="str">
        <f t="shared" si="7"/>
        <v>Before</v>
      </c>
      <c r="P203" s="7">
        <v>6.329007731332871E-2</v>
      </c>
    </row>
    <row r="204" spans="1:16">
      <c r="A204" t="s">
        <v>249</v>
      </c>
      <c r="B204" t="s">
        <v>48</v>
      </c>
      <c r="C204" s="5">
        <v>45908</v>
      </c>
      <c r="D204" t="s">
        <v>29</v>
      </c>
      <c r="E204" t="s">
        <v>44</v>
      </c>
      <c r="F204" t="s">
        <v>45</v>
      </c>
      <c r="G204" t="str">
        <f t="shared" si="6"/>
        <v>#AppleWatch,#Health</v>
      </c>
      <c r="H204" s="6">
        <v>23785</v>
      </c>
      <c r="I204" s="6">
        <v>1013</v>
      </c>
      <c r="J204" s="6">
        <v>468</v>
      </c>
      <c r="K204" s="6">
        <v>1628</v>
      </c>
      <c r="L204" s="6">
        <v>8272</v>
      </c>
      <c r="M204" s="6">
        <v>71348</v>
      </c>
      <c r="N204" t="s">
        <v>26</v>
      </c>
      <c r="O204" t="str">
        <f t="shared" si="7"/>
        <v>Before</v>
      </c>
      <c r="P204" s="7">
        <v>6.2262200025680704E-2</v>
      </c>
    </row>
    <row r="205" spans="1:16">
      <c r="A205" t="s">
        <v>250</v>
      </c>
      <c r="B205" t="s">
        <v>28</v>
      </c>
      <c r="C205" s="5">
        <v>45455</v>
      </c>
      <c r="D205" t="s">
        <v>29</v>
      </c>
      <c r="E205" t="s">
        <v>24</v>
      </c>
      <c r="F205" t="s">
        <v>25</v>
      </c>
      <c r="G205" t="str">
        <f t="shared" si="6"/>
        <v>#MacBookAirM3,#AppleInnovation</v>
      </c>
      <c r="H205" s="6">
        <v>17679</v>
      </c>
      <c r="I205" s="6">
        <v>690</v>
      </c>
      <c r="J205" s="6">
        <v>451</v>
      </c>
      <c r="K205" s="6">
        <v>2195</v>
      </c>
      <c r="L205" s="6">
        <v>4390</v>
      </c>
      <c r="M205" s="6">
        <v>235804</v>
      </c>
      <c r="N205" t="s">
        <v>53</v>
      </c>
      <c r="O205" t="str">
        <f t="shared" si="7"/>
        <v>Before</v>
      </c>
      <c r="P205" s="7">
        <v>6.223429004850501E-2</v>
      </c>
    </row>
    <row r="206" spans="1:16">
      <c r="A206" t="s">
        <v>251</v>
      </c>
      <c r="B206" t="s">
        <v>48</v>
      </c>
      <c r="C206" s="5">
        <v>45474</v>
      </c>
      <c r="D206" t="s">
        <v>34</v>
      </c>
      <c r="E206" t="s">
        <v>30</v>
      </c>
      <c r="F206" t="s">
        <v>31</v>
      </c>
      <c r="G206" t="str">
        <f t="shared" si="6"/>
        <v>#AppleDesign,#Innovation</v>
      </c>
      <c r="H206" s="6">
        <v>3761</v>
      </c>
      <c r="I206" s="6">
        <v>651</v>
      </c>
      <c r="J206" s="6">
        <v>493</v>
      </c>
      <c r="K206" s="6">
        <v>2294</v>
      </c>
      <c r="L206" s="6">
        <v>71696</v>
      </c>
      <c r="M206" s="6">
        <v>41177</v>
      </c>
      <c r="N206" t="s">
        <v>21</v>
      </c>
      <c r="O206" t="str">
        <f t="shared" si="7"/>
        <v>Before</v>
      </c>
      <c r="P206" s="7">
        <v>6.2151990462610156E-2</v>
      </c>
    </row>
    <row r="207" spans="1:16">
      <c r="A207" t="s">
        <v>252</v>
      </c>
      <c r="B207" t="s">
        <v>28</v>
      </c>
      <c r="C207" s="5">
        <v>45476</v>
      </c>
      <c r="D207" t="s">
        <v>34</v>
      </c>
      <c r="E207" t="s">
        <v>24</v>
      </c>
      <c r="F207" t="s">
        <v>25</v>
      </c>
      <c r="G207" t="str">
        <f t="shared" si="6"/>
        <v>#MacBookAirM3,#AppleInnovation</v>
      </c>
      <c r="H207" s="6">
        <v>12167</v>
      </c>
      <c r="I207" s="6">
        <v>364</v>
      </c>
      <c r="J207" s="6">
        <v>160</v>
      </c>
      <c r="K207" s="6">
        <v>616</v>
      </c>
      <c r="L207" s="6">
        <v>42228</v>
      </c>
      <c r="M207" s="6">
        <v>175832</v>
      </c>
      <c r="N207" t="s">
        <v>32</v>
      </c>
      <c r="O207" t="str">
        <f t="shared" si="7"/>
        <v>Before</v>
      </c>
      <c r="P207" s="7">
        <v>6.2088657079799291E-2</v>
      </c>
    </row>
    <row r="208" spans="1:16">
      <c r="A208" t="s">
        <v>253</v>
      </c>
      <c r="B208" t="s">
        <v>48</v>
      </c>
      <c r="C208" s="5">
        <v>45909</v>
      </c>
      <c r="D208" t="s">
        <v>18</v>
      </c>
      <c r="E208" t="s">
        <v>41</v>
      </c>
      <c r="F208" t="s">
        <v>42</v>
      </c>
      <c r="G208" t="str">
        <f t="shared" si="6"/>
        <v>#AppleMusic,#AppleLifestyle</v>
      </c>
      <c r="H208" s="6">
        <v>19260</v>
      </c>
      <c r="I208" s="6">
        <v>668</v>
      </c>
      <c r="J208" s="6">
        <v>994</v>
      </c>
      <c r="K208" s="6">
        <v>934</v>
      </c>
      <c r="L208" s="6">
        <v>20509</v>
      </c>
      <c r="M208" s="6">
        <v>61636</v>
      </c>
      <c r="N208" t="s">
        <v>26</v>
      </c>
      <c r="O208" t="str">
        <f t="shared" si="7"/>
        <v>Before</v>
      </c>
      <c r="P208" s="7">
        <v>6.2067532467532466E-2</v>
      </c>
    </row>
    <row r="209" spans="1:16">
      <c r="A209" t="s">
        <v>254</v>
      </c>
      <c r="B209" t="s">
        <v>23</v>
      </c>
      <c r="C209" s="5">
        <v>45776</v>
      </c>
      <c r="D209" t="s">
        <v>40</v>
      </c>
      <c r="E209" t="s">
        <v>44</v>
      </c>
      <c r="F209" t="s">
        <v>45</v>
      </c>
      <c r="G209" t="str">
        <f t="shared" si="6"/>
        <v>#AppleWatch,#Health</v>
      </c>
      <c r="H209" s="6">
        <v>16277</v>
      </c>
      <c r="I209" s="6">
        <v>1109</v>
      </c>
      <c r="J209" s="6">
        <v>375</v>
      </c>
      <c r="K209" s="6">
        <v>2225</v>
      </c>
      <c r="L209" s="6">
        <v>1044</v>
      </c>
      <c r="M209" s="6">
        <v>121889</v>
      </c>
      <c r="N209" t="s">
        <v>37</v>
      </c>
      <c r="O209" t="str">
        <f t="shared" si="7"/>
        <v>During</v>
      </c>
      <c r="P209" s="7">
        <v>5.9097367068710133E-2</v>
      </c>
    </row>
    <row r="210" spans="1:16">
      <c r="A210" t="s">
        <v>255</v>
      </c>
      <c r="B210" t="s">
        <v>23</v>
      </c>
      <c r="C210" s="5">
        <v>45724</v>
      </c>
      <c r="D210" t="s">
        <v>18</v>
      </c>
      <c r="E210" t="s">
        <v>19</v>
      </c>
      <c r="F210" t="s">
        <v>20</v>
      </c>
      <c r="G210" t="str">
        <f t="shared" si="6"/>
        <v>#AppleWatchUltra2,#HealthTech</v>
      </c>
      <c r="H210" s="6">
        <v>5812</v>
      </c>
      <c r="I210" s="6">
        <v>934</v>
      </c>
      <c r="J210" s="6">
        <v>302</v>
      </c>
      <c r="K210" s="6">
        <v>2356</v>
      </c>
      <c r="L210" s="6">
        <v>37437</v>
      </c>
      <c r="M210" s="6">
        <v>93551</v>
      </c>
      <c r="N210" t="s">
        <v>21</v>
      </c>
      <c r="O210" t="str">
        <f t="shared" si="7"/>
        <v>Before</v>
      </c>
      <c r="P210" s="7">
        <v>5.8335042034037318E-2</v>
      </c>
    </row>
    <row r="211" spans="1:16">
      <c r="A211" t="s">
        <v>256</v>
      </c>
      <c r="B211" t="s">
        <v>23</v>
      </c>
      <c r="C211" s="5">
        <v>45444</v>
      </c>
      <c r="D211" t="s">
        <v>18</v>
      </c>
      <c r="E211" t="s">
        <v>41</v>
      </c>
      <c r="F211" t="s">
        <v>42</v>
      </c>
      <c r="G211" t="str">
        <f t="shared" si="6"/>
        <v>#AppleMusic,#AppleLifestyle</v>
      </c>
      <c r="H211" s="6">
        <v>19844</v>
      </c>
      <c r="I211" s="6">
        <v>1022</v>
      </c>
      <c r="J211" s="6">
        <v>860</v>
      </c>
      <c r="K211" s="6">
        <v>2570</v>
      </c>
      <c r="L211" s="6">
        <v>23719</v>
      </c>
      <c r="M211" s="6">
        <v>182628</v>
      </c>
      <c r="N211" t="s">
        <v>32</v>
      </c>
      <c r="O211" t="str">
        <f t="shared" si="7"/>
        <v>Before</v>
      </c>
      <c r="P211" s="7">
        <v>5.8312760704860814E-2</v>
      </c>
    </row>
    <row r="212" spans="1:16">
      <c r="A212" t="s">
        <v>257</v>
      </c>
      <c r="B212" t="s">
        <v>23</v>
      </c>
      <c r="C212" s="5">
        <v>45648</v>
      </c>
      <c r="D212" t="s">
        <v>29</v>
      </c>
      <c r="E212" t="s">
        <v>35</v>
      </c>
      <c r="F212" t="s">
        <v>36</v>
      </c>
      <c r="G212" t="str">
        <f t="shared" si="6"/>
        <v>#AppleEvent,#iPadPro</v>
      </c>
      <c r="H212" s="6">
        <v>20117</v>
      </c>
      <c r="I212" s="6">
        <v>1143</v>
      </c>
      <c r="J212" s="6">
        <v>713</v>
      </c>
      <c r="K212" s="6">
        <v>1739</v>
      </c>
      <c r="L212" s="6">
        <v>34444</v>
      </c>
      <c r="M212" s="6">
        <v>198670</v>
      </c>
      <c r="N212" t="s">
        <v>53</v>
      </c>
      <c r="O212" t="str">
        <f t="shared" si="7"/>
        <v>Before</v>
      </c>
      <c r="P212" s="7">
        <v>5.7709003625963942E-2</v>
      </c>
    </row>
    <row r="213" spans="1:16">
      <c r="A213" t="s">
        <v>258</v>
      </c>
      <c r="B213" t="s">
        <v>23</v>
      </c>
      <c r="C213" s="5">
        <v>45523</v>
      </c>
      <c r="D213" t="s">
        <v>34</v>
      </c>
      <c r="E213" t="s">
        <v>63</v>
      </c>
      <c r="F213" t="s">
        <v>64</v>
      </c>
      <c r="G213" t="str">
        <f t="shared" si="6"/>
        <v>#iPhonePhotography,#ShotOniPhone</v>
      </c>
      <c r="H213" s="6">
        <v>3605</v>
      </c>
      <c r="I213" s="6">
        <v>206</v>
      </c>
      <c r="J213" s="6">
        <v>921</v>
      </c>
      <c r="K213" s="6">
        <v>852</v>
      </c>
      <c r="L213" s="6">
        <v>11660</v>
      </c>
      <c r="M213" s="6">
        <v>182635</v>
      </c>
      <c r="N213" t="s">
        <v>37</v>
      </c>
      <c r="O213" t="str">
        <f t="shared" si="7"/>
        <v>During</v>
      </c>
      <c r="P213" s="7">
        <v>5.7370434574690654E-2</v>
      </c>
    </row>
    <row r="214" spans="1:16">
      <c r="A214" t="s">
        <v>259</v>
      </c>
      <c r="B214" t="s">
        <v>48</v>
      </c>
      <c r="C214" s="5">
        <v>45587</v>
      </c>
      <c r="D214" t="s">
        <v>40</v>
      </c>
      <c r="E214" t="s">
        <v>30</v>
      </c>
      <c r="F214" t="s">
        <v>31</v>
      </c>
      <c r="G214" t="str">
        <f t="shared" si="6"/>
        <v>#AppleDesign,#Innovation</v>
      </c>
      <c r="H214" s="6">
        <v>7622</v>
      </c>
      <c r="I214" s="6">
        <v>529</v>
      </c>
      <c r="J214" s="6">
        <v>720</v>
      </c>
      <c r="K214" s="6">
        <v>1015</v>
      </c>
      <c r="L214" s="6">
        <v>71322</v>
      </c>
      <c r="M214" s="6">
        <v>86819</v>
      </c>
      <c r="N214" t="s">
        <v>53</v>
      </c>
      <c r="O214" t="str">
        <f t="shared" si="7"/>
        <v>Before</v>
      </c>
      <c r="P214" s="7">
        <v>5.7203921053574198E-2</v>
      </c>
    </row>
    <row r="215" spans="1:16">
      <c r="A215" t="s">
        <v>260</v>
      </c>
      <c r="B215" t="s">
        <v>48</v>
      </c>
      <c r="C215" s="5">
        <v>45489</v>
      </c>
      <c r="D215" t="s">
        <v>29</v>
      </c>
      <c r="E215" t="s">
        <v>49</v>
      </c>
      <c r="F215" t="s">
        <v>35</v>
      </c>
      <c r="G215" t="str">
        <f t="shared" si="6"/>
        <v>#iPhone16Launch,#AppleEvent</v>
      </c>
      <c r="H215" s="6">
        <v>8767</v>
      </c>
      <c r="I215" s="6">
        <v>974</v>
      </c>
      <c r="J215" s="6">
        <v>733</v>
      </c>
      <c r="K215" s="6">
        <v>1587</v>
      </c>
      <c r="L215" s="6">
        <v>74927</v>
      </c>
      <c r="M215" s="6">
        <v>113770</v>
      </c>
      <c r="N215" t="s">
        <v>21</v>
      </c>
      <c r="O215" t="str">
        <f t="shared" si="7"/>
        <v>Before</v>
      </c>
      <c r="P215" s="7">
        <v>5.6368419046166747E-2</v>
      </c>
    </row>
    <row r="216" spans="1:16">
      <c r="A216" t="s">
        <v>261</v>
      </c>
      <c r="B216" t="s">
        <v>17</v>
      </c>
      <c r="C216" s="5">
        <v>45910</v>
      </c>
      <c r="D216" t="s">
        <v>18</v>
      </c>
      <c r="E216" t="s">
        <v>24</v>
      </c>
      <c r="F216" t="s">
        <v>25</v>
      </c>
      <c r="G216" t="str">
        <f t="shared" si="6"/>
        <v>#MacBookAirM3,#AppleInnovation</v>
      </c>
      <c r="H216" s="6">
        <v>13613</v>
      </c>
      <c r="I216" s="6">
        <v>350</v>
      </c>
      <c r="J216" s="6">
        <v>809</v>
      </c>
      <c r="K216" s="6">
        <v>2013</v>
      </c>
      <c r="L216" s="6">
        <v>20471</v>
      </c>
      <c r="M216" s="6">
        <v>198038</v>
      </c>
      <c r="N216" t="s">
        <v>26</v>
      </c>
      <c r="O216" t="str">
        <f t="shared" si="7"/>
        <v>Before</v>
      </c>
      <c r="P216" s="7">
        <v>5.6026851269142017E-2</v>
      </c>
    </row>
    <row r="217" spans="1:16">
      <c r="A217" t="s">
        <v>262</v>
      </c>
      <c r="B217" t="s">
        <v>23</v>
      </c>
      <c r="C217" s="5">
        <v>45911</v>
      </c>
      <c r="D217" t="s">
        <v>34</v>
      </c>
      <c r="E217" t="s">
        <v>41</v>
      </c>
      <c r="F217" t="s">
        <v>42</v>
      </c>
      <c r="G217" t="str">
        <f t="shared" si="6"/>
        <v>#AppleMusic,#AppleLifestyle</v>
      </c>
      <c r="H217" s="6">
        <v>21901</v>
      </c>
      <c r="I217" s="6">
        <v>1308</v>
      </c>
      <c r="J217" s="6">
        <v>724</v>
      </c>
      <c r="K217" s="6">
        <v>2183</v>
      </c>
      <c r="L217" s="6">
        <v>15996</v>
      </c>
      <c r="M217" s="6">
        <v>230961</v>
      </c>
      <c r="N217" t="s">
        <v>26</v>
      </c>
      <c r="O217" t="str">
        <f t="shared" si="7"/>
        <v>Before</v>
      </c>
      <c r="P217" s="7">
        <v>5.5652105221581483E-2</v>
      </c>
    </row>
    <row r="218" spans="1:16">
      <c r="A218" t="s">
        <v>263</v>
      </c>
      <c r="B218" t="s">
        <v>48</v>
      </c>
      <c r="C218" s="5">
        <v>45675</v>
      </c>
      <c r="D218" t="s">
        <v>29</v>
      </c>
      <c r="E218" t="s">
        <v>63</v>
      </c>
      <c r="F218" t="s">
        <v>64</v>
      </c>
      <c r="G218" t="str">
        <f t="shared" si="6"/>
        <v>#iPhonePhotography,#ShotOniPhone</v>
      </c>
      <c r="H218" s="6">
        <v>12589</v>
      </c>
      <c r="I218" s="6">
        <v>346</v>
      </c>
      <c r="J218" s="6">
        <v>459</v>
      </c>
      <c r="K218" s="6">
        <v>1407</v>
      </c>
      <c r="L218" s="6">
        <v>29254</v>
      </c>
      <c r="M218" s="6">
        <v>198059</v>
      </c>
      <c r="N218" t="s">
        <v>32</v>
      </c>
      <c r="O218" t="str">
        <f t="shared" si="7"/>
        <v>Before</v>
      </c>
      <c r="P218" s="7">
        <v>5.563029516808405E-2</v>
      </c>
    </row>
    <row r="219" spans="1:16">
      <c r="A219" t="s">
        <v>264</v>
      </c>
      <c r="B219" t="s">
        <v>17</v>
      </c>
      <c r="C219" s="5">
        <v>45912</v>
      </c>
      <c r="D219" t="s">
        <v>34</v>
      </c>
      <c r="E219" t="s">
        <v>41</v>
      </c>
      <c r="F219" t="s">
        <v>42</v>
      </c>
      <c r="G219" t="str">
        <f t="shared" si="6"/>
        <v>#AppleMusic,#AppleLifestyle</v>
      </c>
      <c r="H219" s="6">
        <v>15918</v>
      </c>
      <c r="I219" s="6">
        <v>1114</v>
      </c>
      <c r="J219" s="6">
        <v>392</v>
      </c>
      <c r="K219" s="6">
        <v>1641</v>
      </c>
      <c r="L219" s="6">
        <v>28044</v>
      </c>
      <c r="M219" s="6">
        <v>118714</v>
      </c>
      <c r="N219" t="s">
        <v>26</v>
      </c>
      <c r="O219" t="str">
        <f t="shared" si="7"/>
        <v>Before</v>
      </c>
      <c r="P219" s="7">
        <v>5.530396789678968E-2</v>
      </c>
    </row>
    <row r="220" spans="1:16">
      <c r="A220" t="s">
        <v>265</v>
      </c>
      <c r="B220" t="s">
        <v>23</v>
      </c>
      <c r="C220" s="5">
        <v>45722</v>
      </c>
      <c r="D220" t="s">
        <v>29</v>
      </c>
      <c r="E220" t="s">
        <v>49</v>
      </c>
      <c r="F220" t="s">
        <v>35</v>
      </c>
      <c r="G220" t="str">
        <f t="shared" si="6"/>
        <v>#iPhone16Launch,#AppleEvent</v>
      </c>
      <c r="H220" s="6">
        <v>22119</v>
      </c>
      <c r="I220" s="6">
        <v>899</v>
      </c>
      <c r="J220" s="6">
        <v>642</v>
      </c>
      <c r="K220" s="6">
        <v>410</v>
      </c>
      <c r="L220" s="6">
        <v>49490</v>
      </c>
      <c r="M220" s="6">
        <v>229420</v>
      </c>
      <c r="N220" t="s">
        <v>37</v>
      </c>
      <c r="O220" t="str">
        <f t="shared" si="7"/>
        <v>During</v>
      </c>
      <c r="P220" s="7">
        <v>5.5281075910190762E-2</v>
      </c>
    </row>
    <row r="221" spans="1:16">
      <c r="A221" t="s">
        <v>266</v>
      </c>
      <c r="B221" t="s">
        <v>28</v>
      </c>
      <c r="C221" s="5">
        <v>45913</v>
      </c>
      <c r="D221" t="s">
        <v>34</v>
      </c>
      <c r="E221" t="s">
        <v>63</v>
      </c>
      <c r="F221" t="s">
        <v>64</v>
      </c>
      <c r="G221" t="str">
        <f t="shared" si="6"/>
        <v>#iPhonePhotography,#ShotOniPhone</v>
      </c>
      <c r="H221" s="6">
        <v>15046</v>
      </c>
      <c r="I221" s="6">
        <v>281</v>
      </c>
      <c r="J221" s="6">
        <v>515</v>
      </c>
      <c r="K221" s="6">
        <v>550</v>
      </c>
      <c r="L221" s="6">
        <v>22583</v>
      </c>
      <c r="M221" s="6">
        <v>64596</v>
      </c>
      <c r="N221" t="s">
        <v>26</v>
      </c>
      <c r="O221" t="str">
        <f t="shared" si="7"/>
        <v>Before</v>
      </c>
      <c r="P221" s="7">
        <v>5.5119760020032396E-2</v>
      </c>
    </row>
    <row r="222" spans="1:16">
      <c r="A222" t="s">
        <v>267</v>
      </c>
      <c r="B222" t="s">
        <v>17</v>
      </c>
      <c r="C222" s="5">
        <v>45669</v>
      </c>
      <c r="D222" t="s">
        <v>18</v>
      </c>
      <c r="E222" t="s">
        <v>35</v>
      </c>
      <c r="F222" t="s">
        <v>36</v>
      </c>
      <c r="G222" t="str">
        <f t="shared" si="6"/>
        <v>#AppleEvent,#iPadPro</v>
      </c>
      <c r="H222" s="6">
        <v>4590</v>
      </c>
      <c r="I222" s="6">
        <v>713</v>
      </c>
      <c r="J222" s="6">
        <v>479</v>
      </c>
      <c r="K222" s="6">
        <v>2730</v>
      </c>
      <c r="L222" s="6">
        <v>41050</v>
      </c>
      <c r="M222" s="6">
        <v>204246</v>
      </c>
      <c r="N222" t="s">
        <v>32</v>
      </c>
      <c r="O222" t="str">
        <f t="shared" si="7"/>
        <v>Before</v>
      </c>
      <c r="P222" s="7">
        <v>5.4964209769684629E-2</v>
      </c>
    </row>
    <row r="223" spans="1:16">
      <c r="A223" t="s">
        <v>268</v>
      </c>
      <c r="B223" t="s">
        <v>48</v>
      </c>
      <c r="C223" s="5">
        <v>45576</v>
      </c>
      <c r="D223" t="s">
        <v>40</v>
      </c>
      <c r="E223" t="s">
        <v>49</v>
      </c>
      <c r="F223" t="s">
        <v>35</v>
      </c>
      <c r="G223" t="str">
        <f t="shared" si="6"/>
        <v>#iPhone16Launch,#AppleEvent</v>
      </c>
      <c r="H223" s="6">
        <v>19447</v>
      </c>
      <c r="I223" s="6">
        <v>1014</v>
      </c>
      <c r="J223" s="6">
        <v>256</v>
      </c>
      <c r="K223" s="6">
        <v>2354</v>
      </c>
      <c r="L223" s="6">
        <v>5472</v>
      </c>
      <c r="M223" s="6">
        <v>104106</v>
      </c>
      <c r="N223" t="s">
        <v>21</v>
      </c>
      <c r="O223" t="str">
        <f t="shared" si="7"/>
        <v>Before</v>
      </c>
      <c r="P223" s="7">
        <v>5.3995905798572247E-2</v>
      </c>
    </row>
    <row r="224" spans="1:16">
      <c r="A224" t="s">
        <v>269</v>
      </c>
      <c r="B224" t="s">
        <v>28</v>
      </c>
      <c r="C224" s="5">
        <v>45914</v>
      </c>
      <c r="D224" t="s">
        <v>40</v>
      </c>
      <c r="E224" t="s">
        <v>35</v>
      </c>
      <c r="F224" t="s">
        <v>58</v>
      </c>
      <c r="G224" t="str">
        <f t="shared" si="6"/>
        <v>#AppleEvent,#iPhone16</v>
      </c>
      <c r="H224" s="6">
        <v>12787</v>
      </c>
      <c r="I224" s="6">
        <v>945</v>
      </c>
      <c r="J224" s="6">
        <v>974</v>
      </c>
      <c r="K224" s="6">
        <v>1407</v>
      </c>
      <c r="L224" s="6">
        <v>4037</v>
      </c>
      <c r="M224" s="6">
        <v>99182</v>
      </c>
      <c r="N224" t="s">
        <v>26</v>
      </c>
      <c r="O224" t="str">
        <f t="shared" si="7"/>
        <v>Before</v>
      </c>
      <c r="P224" s="7">
        <v>5.3443950567397383E-2</v>
      </c>
    </row>
    <row r="225" spans="1:16">
      <c r="A225" t="s">
        <v>270</v>
      </c>
      <c r="B225" t="s">
        <v>17</v>
      </c>
      <c r="C225" s="5">
        <v>45465</v>
      </c>
      <c r="D225" t="s">
        <v>29</v>
      </c>
      <c r="E225" t="s">
        <v>44</v>
      </c>
      <c r="F225" t="s">
        <v>45</v>
      </c>
      <c r="G225" t="str">
        <f t="shared" si="6"/>
        <v>#AppleWatch,#Health</v>
      </c>
      <c r="H225" s="6">
        <v>7342</v>
      </c>
      <c r="I225" s="6">
        <v>906</v>
      </c>
      <c r="J225" s="6">
        <v>902</v>
      </c>
      <c r="K225" s="6">
        <v>1199</v>
      </c>
      <c r="L225" s="6">
        <v>68488</v>
      </c>
      <c r="M225" s="6">
        <v>79310</v>
      </c>
      <c r="N225" t="s">
        <v>21</v>
      </c>
      <c r="O225" t="str">
        <f t="shared" si="7"/>
        <v>Before</v>
      </c>
      <c r="P225" s="7">
        <v>5.3436258372119426E-2</v>
      </c>
    </row>
    <row r="226" spans="1:16">
      <c r="A226" t="s">
        <v>271</v>
      </c>
      <c r="B226" t="s">
        <v>48</v>
      </c>
      <c r="C226" s="5">
        <v>45915</v>
      </c>
      <c r="D226" t="s">
        <v>18</v>
      </c>
      <c r="E226" t="s">
        <v>41</v>
      </c>
      <c r="F226" t="s">
        <v>42</v>
      </c>
      <c r="G226" t="str">
        <f t="shared" si="6"/>
        <v>#AppleMusic,#AppleLifestyle</v>
      </c>
      <c r="H226" s="6">
        <v>18389</v>
      </c>
      <c r="I226" s="6">
        <v>670</v>
      </c>
      <c r="J226" s="6">
        <v>655</v>
      </c>
      <c r="K226" s="6">
        <v>321</v>
      </c>
      <c r="L226" s="6">
        <v>21869</v>
      </c>
      <c r="M226" s="6">
        <v>96088</v>
      </c>
      <c r="N226" t="s">
        <v>26</v>
      </c>
      <c r="O226" t="str">
        <f t="shared" si="7"/>
        <v>Before</v>
      </c>
      <c r="P226" s="7">
        <v>5.2300290957278256E-2</v>
      </c>
    </row>
    <row r="227" spans="1:16">
      <c r="A227" t="s">
        <v>272</v>
      </c>
      <c r="B227" t="s">
        <v>28</v>
      </c>
      <c r="C227" s="5">
        <v>45775</v>
      </c>
      <c r="D227" t="s">
        <v>40</v>
      </c>
      <c r="E227" t="s">
        <v>35</v>
      </c>
      <c r="F227" t="s">
        <v>58</v>
      </c>
      <c r="G227" t="str">
        <f t="shared" si="6"/>
        <v>#AppleEvent,#iPhone16</v>
      </c>
      <c r="H227" s="6">
        <v>10659</v>
      </c>
      <c r="I227" s="6">
        <v>1342</v>
      </c>
      <c r="J227" s="6">
        <v>408</v>
      </c>
      <c r="K227" s="6">
        <v>709</v>
      </c>
      <c r="L227" s="6">
        <v>16309</v>
      </c>
      <c r="M227" s="6">
        <v>168803</v>
      </c>
      <c r="N227" t="s">
        <v>32</v>
      </c>
      <c r="O227" t="str">
        <f t="shared" si="7"/>
        <v>Before</v>
      </c>
      <c r="P227" s="7">
        <v>5.1986616224487935E-2</v>
      </c>
    </row>
    <row r="228" spans="1:16">
      <c r="A228" t="s">
        <v>273</v>
      </c>
      <c r="B228" t="s">
        <v>28</v>
      </c>
      <c r="C228" s="5">
        <v>45671</v>
      </c>
      <c r="D228" t="s">
        <v>40</v>
      </c>
      <c r="E228" t="s">
        <v>35</v>
      </c>
      <c r="F228" t="s">
        <v>58</v>
      </c>
      <c r="G228" t="str">
        <f t="shared" si="6"/>
        <v>#AppleEvent,#iPhone16</v>
      </c>
      <c r="H228" s="6">
        <v>24350</v>
      </c>
      <c r="I228" s="6">
        <v>460</v>
      </c>
      <c r="J228" s="6">
        <v>666</v>
      </c>
      <c r="K228" s="6">
        <v>814</v>
      </c>
      <c r="L228" s="6">
        <v>21120</v>
      </c>
      <c r="M228" s="6">
        <v>76914</v>
      </c>
      <c r="N228" t="s">
        <v>21</v>
      </c>
      <c r="O228" t="str">
        <f t="shared" si="7"/>
        <v>Before</v>
      </c>
      <c r="P228" s="7">
        <v>5.1817013480626728E-2</v>
      </c>
    </row>
    <row r="229" spans="1:16">
      <c r="A229" t="s">
        <v>274</v>
      </c>
      <c r="B229" t="s">
        <v>28</v>
      </c>
      <c r="C229" s="5">
        <v>45750</v>
      </c>
      <c r="D229" t="s">
        <v>18</v>
      </c>
      <c r="E229" t="s">
        <v>116</v>
      </c>
      <c r="F229" t="s">
        <v>117</v>
      </c>
      <c r="G229" t="str">
        <f t="shared" si="6"/>
        <v>#Sustainability,#AppleEarth</v>
      </c>
      <c r="H229" s="6">
        <v>10837</v>
      </c>
      <c r="I229" s="6">
        <v>1004</v>
      </c>
      <c r="J229" s="6">
        <v>922</v>
      </c>
      <c r="K229" s="6">
        <v>1108</v>
      </c>
      <c r="L229" s="6">
        <v>36807</v>
      </c>
      <c r="M229" s="6">
        <v>150350</v>
      </c>
      <c r="N229" t="s">
        <v>32</v>
      </c>
      <c r="O229" t="str">
        <f t="shared" si="7"/>
        <v>Before</v>
      </c>
      <c r="P229" s="7">
        <v>5.1716844109144754E-2</v>
      </c>
    </row>
    <row r="230" spans="1:16">
      <c r="A230" t="s">
        <v>275</v>
      </c>
      <c r="B230" t="s">
        <v>17</v>
      </c>
      <c r="C230" s="5">
        <v>45917</v>
      </c>
      <c r="D230" t="s">
        <v>40</v>
      </c>
      <c r="E230" t="s">
        <v>41</v>
      </c>
      <c r="F230" t="s">
        <v>42</v>
      </c>
      <c r="G230" t="str">
        <f t="shared" si="6"/>
        <v>#AppleMusic,#AppleLifestyle</v>
      </c>
      <c r="H230" s="6">
        <v>2117</v>
      </c>
      <c r="I230" s="6">
        <v>1133</v>
      </c>
      <c r="J230" s="6">
        <v>203</v>
      </c>
      <c r="K230" s="6">
        <v>1173</v>
      </c>
      <c r="L230" s="6">
        <v>40125</v>
      </c>
      <c r="M230" s="6">
        <v>85379</v>
      </c>
      <c r="N230" t="s">
        <v>26</v>
      </c>
      <c r="O230" t="str">
        <f t="shared" si="7"/>
        <v>Before</v>
      </c>
      <c r="P230" s="7">
        <v>5.1390278926069365E-2</v>
      </c>
    </row>
    <row r="231" spans="1:16">
      <c r="A231" t="s">
        <v>276</v>
      </c>
      <c r="B231" t="s">
        <v>17</v>
      </c>
      <c r="C231" s="5">
        <v>45753</v>
      </c>
      <c r="D231" t="s">
        <v>40</v>
      </c>
      <c r="E231" t="s">
        <v>35</v>
      </c>
      <c r="F231" t="s">
        <v>58</v>
      </c>
      <c r="G231" t="str">
        <f t="shared" si="6"/>
        <v>#AppleEvent,#iPhone16</v>
      </c>
      <c r="H231" s="6">
        <v>15917</v>
      </c>
      <c r="I231" s="6">
        <v>1479</v>
      </c>
      <c r="J231" s="6">
        <v>196</v>
      </c>
      <c r="K231" s="6">
        <v>313</v>
      </c>
      <c r="L231" s="6">
        <v>48524</v>
      </c>
      <c r="M231" s="6">
        <v>249684</v>
      </c>
      <c r="N231" t="s">
        <v>37</v>
      </c>
      <c r="O231" t="str">
        <f t="shared" si="7"/>
        <v>During</v>
      </c>
      <c r="P231" s="7">
        <v>5.0524045085947912E-2</v>
      </c>
    </row>
    <row r="232" spans="1:16">
      <c r="A232" t="s">
        <v>277</v>
      </c>
      <c r="B232" t="s">
        <v>48</v>
      </c>
      <c r="C232" s="5">
        <v>45509</v>
      </c>
      <c r="D232" t="s">
        <v>34</v>
      </c>
      <c r="E232" t="s">
        <v>19</v>
      </c>
      <c r="F232" t="s">
        <v>20</v>
      </c>
      <c r="G232" t="str">
        <f t="shared" si="6"/>
        <v>#AppleWatchUltra2,#HealthTech</v>
      </c>
      <c r="H232" s="6">
        <v>20935</v>
      </c>
      <c r="I232" s="6">
        <v>1104</v>
      </c>
      <c r="J232" s="6">
        <v>876</v>
      </c>
      <c r="K232" s="6">
        <v>1270</v>
      </c>
      <c r="L232" s="6">
        <v>21454</v>
      </c>
      <c r="M232" s="6">
        <v>208722</v>
      </c>
      <c r="N232" t="s">
        <v>32</v>
      </c>
      <c r="O232" t="str">
        <f t="shared" si="7"/>
        <v>Before</v>
      </c>
      <c r="P232" s="7">
        <v>4.9947039623008581E-2</v>
      </c>
    </row>
    <row r="233" spans="1:16">
      <c r="A233" t="s">
        <v>278</v>
      </c>
      <c r="B233" t="s">
        <v>23</v>
      </c>
      <c r="C233" s="5">
        <v>45698</v>
      </c>
      <c r="D233" t="s">
        <v>40</v>
      </c>
      <c r="E233" t="s">
        <v>24</v>
      </c>
      <c r="F233" t="s">
        <v>25</v>
      </c>
      <c r="G233" t="str">
        <f t="shared" si="6"/>
        <v>#MacBookAirM3,#AppleInnovation</v>
      </c>
      <c r="H233" s="6">
        <v>16309</v>
      </c>
      <c r="I233" s="6">
        <v>1449</v>
      </c>
      <c r="J233" s="6">
        <v>838</v>
      </c>
      <c r="K233" s="6">
        <v>2434</v>
      </c>
      <c r="L233" s="6">
        <v>2940</v>
      </c>
      <c r="M233" s="6">
        <v>217953</v>
      </c>
      <c r="N233" t="s">
        <v>37</v>
      </c>
      <c r="O233" t="str">
        <f t="shared" si="7"/>
        <v>During</v>
      </c>
      <c r="P233" s="7">
        <v>4.9605013277039242E-2</v>
      </c>
    </row>
    <row r="234" spans="1:16">
      <c r="A234" t="s">
        <v>279</v>
      </c>
      <c r="B234" t="s">
        <v>17</v>
      </c>
      <c r="C234" s="5">
        <v>45700</v>
      </c>
      <c r="D234" t="s">
        <v>34</v>
      </c>
      <c r="E234" t="s">
        <v>24</v>
      </c>
      <c r="F234" t="s">
        <v>25</v>
      </c>
      <c r="G234" t="str">
        <f t="shared" si="6"/>
        <v>#MacBookAirM3,#AppleInnovation</v>
      </c>
      <c r="H234" s="6">
        <v>15234</v>
      </c>
      <c r="I234" s="6">
        <v>1276</v>
      </c>
      <c r="J234" s="6">
        <v>670</v>
      </c>
      <c r="K234" s="6">
        <v>1860</v>
      </c>
      <c r="L234" s="6">
        <v>60397</v>
      </c>
      <c r="M234" s="6">
        <v>86413</v>
      </c>
      <c r="N234" t="s">
        <v>53</v>
      </c>
      <c r="O234" t="str">
        <f t="shared" si="7"/>
        <v>Before</v>
      </c>
      <c r="P234" s="7">
        <v>4.9357038328611019E-2</v>
      </c>
    </row>
    <row r="235" spans="1:16">
      <c r="A235" t="s">
        <v>280</v>
      </c>
      <c r="B235" t="s">
        <v>28</v>
      </c>
      <c r="C235" s="5">
        <v>45592</v>
      </c>
      <c r="D235" t="s">
        <v>40</v>
      </c>
      <c r="E235" t="s">
        <v>19</v>
      </c>
      <c r="F235" t="s">
        <v>20</v>
      </c>
      <c r="G235" t="str">
        <f t="shared" si="6"/>
        <v>#AppleWatchUltra2,#HealthTech</v>
      </c>
      <c r="H235" s="6">
        <v>7560</v>
      </c>
      <c r="I235" s="6">
        <v>1139</v>
      </c>
      <c r="J235" s="6">
        <v>248</v>
      </c>
      <c r="K235" s="6">
        <v>1624</v>
      </c>
      <c r="L235" s="6">
        <v>72237</v>
      </c>
      <c r="M235" s="6">
        <v>177084</v>
      </c>
      <c r="N235" t="s">
        <v>32</v>
      </c>
      <c r="O235" t="str">
        <f t="shared" si="7"/>
        <v>Before</v>
      </c>
      <c r="P235" s="7">
        <v>4.6311641513143903E-2</v>
      </c>
    </row>
    <row r="236" spans="1:16">
      <c r="A236" t="s">
        <v>281</v>
      </c>
      <c r="B236" t="s">
        <v>48</v>
      </c>
      <c r="C236" s="5">
        <v>45675</v>
      </c>
      <c r="D236" t="s">
        <v>29</v>
      </c>
      <c r="E236" t="s">
        <v>63</v>
      </c>
      <c r="F236" t="s">
        <v>64</v>
      </c>
      <c r="G236" t="str">
        <f t="shared" si="6"/>
        <v>#iPhonePhotography,#ShotOniPhone</v>
      </c>
      <c r="H236" s="6">
        <v>22673</v>
      </c>
      <c r="I236" s="6">
        <v>1053</v>
      </c>
      <c r="J236" s="6">
        <v>169</v>
      </c>
      <c r="K236" s="6">
        <v>1566</v>
      </c>
      <c r="L236" s="6">
        <v>9417</v>
      </c>
      <c r="M236" s="6">
        <v>221187</v>
      </c>
      <c r="N236" t="s">
        <v>37</v>
      </c>
      <c r="O236" t="str">
        <f t="shared" si="7"/>
        <v>During</v>
      </c>
      <c r="P236" s="7">
        <v>4.5984271863057827E-2</v>
      </c>
    </row>
    <row r="237" spans="1:16">
      <c r="A237" t="s">
        <v>282</v>
      </c>
      <c r="B237" t="s">
        <v>28</v>
      </c>
      <c r="C237" s="5">
        <v>45687</v>
      </c>
      <c r="D237" t="s">
        <v>29</v>
      </c>
      <c r="E237" t="s">
        <v>63</v>
      </c>
      <c r="F237" t="s">
        <v>64</v>
      </c>
      <c r="G237" t="str">
        <f t="shared" si="6"/>
        <v>#iPhonePhotography,#ShotOniPhone</v>
      </c>
      <c r="H237" s="6">
        <v>12954</v>
      </c>
      <c r="I237" s="6">
        <v>913</v>
      </c>
      <c r="J237" s="6">
        <v>722</v>
      </c>
      <c r="K237" s="6">
        <v>1049</v>
      </c>
      <c r="L237" s="6">
        <v>475</v>
      </c>
      <c r="M237" s="6">
        <v>97716</v>
      </c>
      <c r="N237" t="s">
        <v>21</v>
      </c>
      <c r="O237" t="str">
        <f t="shared" si="7"/>
        <v>Before</v>
      </c>
      <c r="P237" s="7">
        <v>4.5683321319726342E-2</v>
      </c>
    </row>
    <row r="238" spans="1:16">
      <c r="A238" t="s">
        <v>283</v>
      </c>
      <c r="B238" t="s">
        <v>17</v>
      </c>
      <c r="C238" s="5">
        <v>45708</v>
      </c>
      <c r="D238" t="s">
        <v>40</v>
      </c>
      <c r="E238" t="s">
        <v>49</v>
      </c>
      <c r="F238" t="s">
        <v>35</v>
      </c>
      <c r="G238" t="str">
        <f t="shared" si="6"/>
        <v>#iPhone16Launch,#AppleEvent</v>
      </c>
      <c r="H238" s="6">
        <v>15703</v>
      </c>
      <c r="I238" s="6">
        <v>1381</v>
      </c>
      <c r="J238" s="6">
        <v>639</v>
      </c>
      <c r="K238" s="6">
        <v>984</v>
      </c>
      <c r="L238" s="6">
        <v>10967</v>
      </c>
      <c r="M238" s="6">
        <v>133747</v>
      </c>
      <c r="N238" t="s">
        <v>53</v>
      </c>
      <c r="O238" t="str">
        <f t="shared" si="7"/>
        <v>Before</v>
      </c>
      <c r="P238" s="7">
        <v>4.5549829279679245E-2</v>
      </c>
    </row>
    <row r="239" spans="1:16">
      <c r="A239" t="s">
        <v>284</v>
      </c>
      <c r="B239" t="s">
        <v>48</v>
      </c>
      <c r="C239" s="5">
        <v>45621</v>
      </c>
      <c r="D239" t="s">
        <v>34</v>
      </c>
      <c r="E239" t="s">
        <v>49</v>
      </c>
      <c r="F239" t="s">
        <v>35</v>
      </c>
      <c r="G239" t="str">
        <f t="shared" si="6"/>
        <v>#iPhone16Launch,#AppleEvent</v>
      </c>
      <c r="H239" s="6">
        <v>17385</v>
      </c>
      <c r="I239" s="6">
        <v>831</v>
      </c>
      <c r="J239" s="6">
        <v>568</v>
      </c>
      <c r="K239" s="6">
        <v>2227</v>
      </c>
      <c r="L239" s="6">
        <v>49351</v>
      </c>
      <c r="M239" s="6">
        <v>207450</v>
      </c>
      <c r="N239" t="s">
        <v>32</v>
      </c>
      <c r="O239" t="str">
        <f t="shared" si="7"/>
        <v>Before</v>
      </c>
      <c r="P239" s="7">
        <v>4.541711217781013E-2</v>
      </c>
    </row>
    <row r="240" spans="1:16">
      <c r="A240" t="s">
        <v>285</v>
      </c>
      <c r="B240" t="s">
        <v>23</v>
      </c>
      <c r="C240" s="5">
        <v>45569</v>
      </c>
      <c r="D240" t="s">
        <v>34</v>
      </c>
      <c r="E240" t="s">
        <v>35</v>
      </c>
      <c r="F240" t="s">
        <v>58</v>
      </c>
      <c r="G240" t="str">
        <f t="shared" si="6"/>
        <v>#AppleEvent,#iPhone16</v>
      </c>
      <c r="H240" s="6">
        <v>15746</v>
      </c>
      <c r="I240" s="6">
        <v>258</v>
      </c>
      <c r="J240" s="6">
        <v>839</v>
      </c>
      <c r="K240" s="6">
        <v>2656</v>
      </c>
      <c r="L240" s="6">
        <v>66614</v>
      </c>
      <c r="M240" s="6">
        <v>213724</v>
      </c>
      <c r="N240" t="s">
        <v>32</v>
      </c>
      <c r="O240" t="str">
        <f t="shared" si="7"/>
        <v>Before</v>
      </c>
      <c r="P240" s="7">
        <v>4.5408260996683103E-2</v>
      </c>
    </row>
    <row r="241" spans="1:16">
      <c r="A241" t="s">
        <v>286</v>
      </c>
      <c r="B241" t="s">
        <v>17</v>
      </c>
      <c r="C241" s="5">
        <v>45672</v>
      </c>
      <c r="D241" t="s">
        <v>29</v>
      </c>
      <c r="E241" t="s">
        <v>24</v>
      </c>
      <c r="F241" t="s">
        <v>25</v>
      </c>
      <c r="G241" t="str">
        <f t="shared" si="6"/>
        <v>#MacBookAirM3,#AppleInnovation</v>
      </c>
      <c r="H241" s="6">
        <v>11333</v>
      </c>
      <c r="I241" s="6">
        <v>920</v>
      </c>
      <c r="J241" s="6">
        <v>294</v>
      </c>
      <c r="K241" s="6">
        <v>606</v>
      </c>
      <c r="L241" s="6">
        <v>59490</v>
      </c>
      <c r="M241" s="6">
        <v>202082</v>
      </c>
      <c r="N241" t="s">
        <v>32</v>
      </c>
      <c r="O241" t="str">
        <f t="shared" si="7"/>
        <v>Before</v>
      </c>
      <c r="P241" s="7">
        <v>4.5293426168731353E-2</v>
      </c>
    </row>
    <row r="242" spans="1:16">
      <c r="A242" t="s">
        <v>287</v>
      </c>
      <c r="B242" t="s">
        <v>48</v>
      </c>
      <c r="C242" s="5">
        <v>45582</v>
      </c>
      <c r="D242" t="s">
        <v>34</v>
      </c>
      <c r="E242" t="s">
        <v>30</v>
      </c>
      <c r="F242" t="s">
        <v>31</v>
      </c>
      <c r="G242" t="str">
        <f t="shared" si="6"/>
        <v>#AppleDesign,#Innovation</v>
      </c>
      <c r="H242" s="6">
        <v>18608</v>
      </c>
      <c r="I242" s="6">
        <v>1338</v>
      </c>
      <c r="J242" s="6">
        <v>365</v>
      </c>
      <c r="K242" s="6">
        <v>2289</v>
      </c>
      <c r="L242" s="6">
        <v>20785</v>
      </c>
      <c r="M242" s="6">
        <v>161999</v>
      </c>
      <c r="N242" t="s">
        <v>21</v>
      </c>
      <c r="O242" t="str">
        <f t="shared" si="7"/>
        <v>Before</v>
      </c>
      <c r="P242" s="7">
        <v>4.3161412227338117E-2</v>
      </c>
    </row>
    <row r="243" spans="1:16">
      <c r="A243" t="s">
        <v>288</v>
      </c>
      <c r="B243" t="s">
        <v>23</v>
      </c>
      <c r="C243" s="5">
        <v>45743</v>
      </c>
      <c r="D243" t="s">
        <v>29</v>
      </c>
      <c r="E243" t="s">
        <v>63</v>
      </c>
      <c r="F243" t="s">
        <v>64</v>
      </c>
      <c r="G243" t="str">
        <f t="shared" si="6"/>
        <v>#iPhonePhotography,#ShotOniPhone</v>
      </c>
      <c r="H243" s="6">
        <v>14819</v>
      </c>
      <c r="I243" s="6">
        <v>1432</v>
      </c>
      <c r="J243" s="6">
        <v>152</v>
      </c>
      <c r="K243" s="6">
        <v>961</v>
      </c>
      <c r="L243" s="6">
        <v>39154</v>
      </c>
      <c r="M243" s="6">
        <v>154793</v>
      </c>
      <c r="N243" t="s">
        <v>37</v>
      </c>
      <c r="O243" t="str">
        <f t="shared" si="7"/>
        <v>During</v>
      </c>
      <c r="P243" s="7">
        <v>4.3073505198818141E-2</v>
      </c>
    </row>
    <row r="244" spans="1:16">
      <c r="A244" t="s">
        <v>289</v>
      </c>
      <c r="B244" t="s">
        <v>23</v>
      </c>
      <c r="C244" s="5">
        <v>45577</v>
      </c>
      <c r="D244" t="s">
        <v>18</v>
      </c>
      <c r="E244" t="s">
        <v>116</v>
      </c>
      <c r="F244" t="s">
        <v>117</v>
      </c>
      <c r="G244" t="str">
        <f t="shared" si="6"/>
        <v>#Sustainability,#AppleEarth</v>
      </c>
      <c r="H244" s="6">
        <v>6208</v>
      </c>
      <c r="I244" s="6">
        <v>725</v>
      </c>
      <c r="J244" s="6">
        <v>309</v>
      </c>
      <c r="K244" s="6">
        <v>848</v>
      </c>
      <c r="L244" s="6">
        <v>39319</v>
      </c>
      <c r="M244" s="6">
        <v>225763</v>
      </c>
      <c r="N244" t="s">
        <v>21</v>
      </c>
      <c r="O244" t="str">
        <f t="shared" si="7"/>
        <v>Before</v>
      </c>
      <c r="P244" s="7">
        <v>4.2810739790021778E-2</v>
      </c>
    </row>
    <row r="245" spans="1:16">
      <c r="A245" t="s">
        <v>290</v>
      </c>
      <c r="B245" t="s">
        <v>23</v>
      </c>
      <c r="C245" s="5">
        <v>45658</v>
      </c>
      <c r="D245" t="s">
        <v>34</v>
      </c>
      <c r="E245" t="s">
        <v>41</v>
      </c>
      <c r="F245" t="s">
        <v>42</v>
      </c>
      <c r="G245" t="str">
        <f t="shared" si="6"/>
        <v>#AppleMusic,#AppleLifestyle</v>
      </c>
      <c r="H245" s="6">
        <v>8283</v>
      </c>
      <c r="I245" s="6">
        <v>720</v>
      </c>
      <c r="J245" s="6">
        <v>888</v>
      </c>
      <c r="K245" s="6">
        <v>611</v>
      </c>
      <c r="L245" s="6">
        <v>52791</v>
      </c>
      <c r="M245" s="6">
        <v>235229</v>
      </c>
      <c r="N245" t="s">
        <v>21</v>
      </c>
      <c r="O245" t="str">
        <f t="shared" si="7"/>
        <v>Before</v>
      </c>
      <c r="P245" s="7">
        <v>4.2048386891072105E-2</v>
      </c>
    </row>
    <row r="246" spans="1:16">
      <c r="A246" t="s">
        <v>291</v>
      </c>
      <c r="B246" t="s">
        <v>28</v>
      </c>
      <c r="C246" s="5">
        <v>45509</v>
      </c>
      <c r="D246" t="s">
        <v>29</v>
      </c>
      <c r="E246" t="s">
        <v>44</v>
      </c>
      <c r="F246" t="s">
        <v>45</v>
      </c>
      <c r="G246" t="str">
        <f t="shared" si="6"/>
        <v>#AppleWatch,#Health</v>
      </c>
      <c r="H246" s="6">
        <v>4048</v>
      </c>
      <c r="I246" s="6">
        <v>751</v>
      </c>
      <c r="J246" s="6">
        <v>930</v>
      </c>
      <c r="K246" s="6">
        <v>1382</v>
      </c>
      <c r="L246" s="6">
        <v>16844</v>
      </c>
      <c r="M246" s="6">
        <v>148177</v>
      </c>
      <c r="N246" t="s">
        <v>37</v>
      </c>
      <c r="O246" t="str">
        <f t="shared" si="7"/>
        <v>During</v>
      </c>
      <c r="P246" s="7">
        <v>4.1131091131091133E-2</v>
      </c>
    </row>
    <row r="247" spans="1:16">
      <c r="A247" t="s">
        <v>292</v>
      </c>
      <c r="B247" t="s">
        <v>23</v>
      </c>
      <c r="C247" s="5">
        <v>45450</v>
      </c>
      <c r="D247" t="s">
        <v>34</v>
      </c>
      <c r="E247" t="s">
        <v>35</v>
      </c>
      <c r="F247" t="s">
        <v>36</v>
      </c>
      <c r="G247" t="str">
        <f t="shared" si="6"/>
        <v>#AppleEvent,#iPadPro</v>
      </c>
      <c r="H247" s="6">
        <v>8233</v>
      </c>
      <c r="I247" s="6">
        <v>436</v>
      </c>
      <c r="J247" s="6">
        <v>269</v>
      </c>
      <c r="K247" s="6">
        <v>2037</v>
      </c>
      <c r="L247" s="6">
        <v>8875</v>
      </c>
      <c r="M247" s="6">
        <v>52289</v>
      </c>
      <c r="N247" t="s">
        <v>21</v>
      </c>
      <c r="O247" t="str">
        <f t="shared" si="7"/>
        <v>Before</v>
      </c>
      <c r="P247" s="7">
        <v>4.0443200318579509E-2</v>
      </c>
    </row>
    <row r="248" spans="1:16">
      <c r="A248" t="s">
        <v>293</v>
      </c>
      <c r="B248" t="s">
        <v>48</v>
      </c>
      <c r="C248" s="5">
        <v>45622</v>
      </c>
      <c r="D248" t="s">
        <v>34</v>
      </c>
      <c r="E248" t="s">
        <v>41</v>
      </c>
      <c r="F248" t="s">
        <v>42</v>
      </c>
      <c r="G248" t="str">
        <f t="shared" si="6"/>
        <v>#AppleMusic,#AppleLifestyle</v>
      </c>
      <c r="H248" s="6">
        <v>14607</v>
      </c>
      <c r="I248" s="6">
        <v>1458</v>
      </c>
      <c r="J248" s="6">
        <v>478</v>
      </c>
      <c r="K248" s="6">
        <v>334</v>
      </c>
      <c r="L248" s="6">
        <v>49257</v>
      </c>
      <c r="M248" s="6">
        <v>214668</v>
      </c>
      <c r="N248" t="s">
        <v>37</v>
      </c>
      <c r="O248" t="str">
        <f t="shared" si="7"/>
        <v>During</v>
      </c>
      <c r="P248" s="7">
        <v>4.0326327066564277E-2</v>
      </c>
    </row>
    <row r="249" spans="1:16">
      <c r="A249" t="s">
        <v>294</v>
      </c>
      <c r="B249" t="s">
        <v>28</v>
      </c>
      <c r="C249" s="5">
        <v>45537</v>
      </c>
      <c r="D249" t="s">
        <v>34</v>
      </c>
      <c r="E249" t="s">
        <v>35</v>
      </c>
      <c r="F249" t="s">
        <v>36</v>
      </c>
      <c r="G249" t="str">
        <f t="shared" si="6"/>
        <v>#AppleEvent,#iPadPro</v>
      </c>
      <c r="H249" s="6">
        <v>11765</v>
      </c>
      <c r="I249" s="6">
        <v>693</v>
      </c>
      <c r="J249" s="6">
        <v>729</v>
      </c>
      <c r="K249" s="6">
        <v>744</v>
      </c>
      <c r="L249" s="6">
        <v>97772</v>
      </c>
      <c r="M249" s="6">
        <v>194243</v>
      </c>
      <c r="N249" t="s">
        <v>21</v>
      </c>
      <c r="O249" t="str">
        <f t="shared" si="7"/>
        <v>Before</v>
      </c>
      <c r="P249" s="7">
        <v>3.9975445361810122E-2</v>
      </c>
    </row>
    <row r="250" spans="1:16">
      <c r="A250" t="s">
        <v>295</v>
      </c>
      <c r="B250" t="s">
        <v>48</v>
      </c>
      <c r="C250" s="5">
        <v>45918</v>
      </c>
      <c r="D250" t="s">
        <v>34</v>
      </c>
      <c r="E250" t="s">
        <v>41</v>
      </c>
      <c r="F250" t="s">
        <v>42</v>
      </c>
      <c r="G250" t="str">
        <f t="shared" si="6"/>
        <v>#AppleMusic,#AppleLifestyle</v>
      </c>
      <c r="H250" s="6">
        <v>3828</v>
      </c>
      <c r="I250" s="6">
        <v>203</v>
      </c>
      <c r="J250" s="6">
        <v>506</v>
      </c>
      <c r="K250" s="6">
        <v>2440</v>
      </c>
      <c r="L250" s="6">
        <v>63650</v>
      </c>
      <c r="M250" s="6">
        <v>126365</v>
      </c>
      <c r="N250" t="s">
        <v>26</v>
      </c>
      <c r="O250" t="str">
        <f t="shared" si="7"/>
        <v>Before</v>
      </c>
      <c r="P250" s="7">
        <v>3.9036026498638549E-2</v>
      </c>
    </row>
    <row r="251" spans="1:16">
      <c r="A251" t="s">
        <v>296</v>
      </c>
      <c r="B251" t="s">
        <v>23</v>
      </c>
      <c r="C251" s="5">
        <v>45738</v>
      </c>
      <c r="D251" t="s">
        <v>34</v>
      </c>
      <c r="E251" t="s">
        <v>35</v>
      </c>
      <c r="F251" t="s">
        <v>58</v>
      </c>
      <c r="G251" t="str">
        <f t="shared" si="6"/>
        <v>#AppleEvent,#iPhone16</v>
      </c>
      <c r="H251" s="6">
        <v>3917</v>
      </c>
      <c r="I251" s="6">
        <v>865</v>
      </c>
      <c r="J251" s="6">
        <v>759</v>
      </c>
      <c r="K251" s="6">
        <v>2282</v>
      </c>
      <c r="L251" s="6">
        <v>56125</v>
      </c>
      <c r="M251" s="6">
        <v>154014</v>
      </c>
      <c r="N251" t="s">
        <v>21</v>
      </c>
      <c r="O251" t="str">
        <f t="shared" si="7"/>
        <v>Before</v>
      </c>
      <c r="P251" s="7">
        <v>3.8663220337839206E-2</v>
      </c>
    </row>
    <row r="252" spans="1:16">
      <c r="A252" t="s">
        <v>297</v>
      </c>
      <c r="B252" t="s">
        <v>23</v>
      </c>
      <c r="C252" s="5">
        <v>45568</v>
      </c>
      <c r="D252" t="s">
        <v>18</v>
      </c>
      <c r="E252" t="s">
        <v>35</v>
      </c>
      <c r="F252" t="s">
        <v>36</v>
      </c>
      <c r="G252" t="str">
        <f t="shared" si="6"/>
        <v>#AppleEvent,#iPadPro</v>
      </c>
      <c r="H252" s="6">
        <v>22618</v>
      </c>
      <c r="I252" s="6">
        <v>641</v>
      </c>
      <c r="J252" s="6">
        <v>416</v>
      </c>
      <c r="K252" s="6">
        <v>1530</v>
      </c>
      <c r="L252" s="6">
        <v>18395</v>
      </c>
      <c r="M252" s="6">
        <v>215211</v>
      </c>
      <c r="N252" t="s">
        <v>53</v>
      </c>
      <c r="O252" t="str">
        <f t="shared" si="7"/>
        <v>Before</v>
      </c>
      <c r="P252" s="7">
        <v>3.8114290100358834E-2</v>
      </c>
    </row>
    <row r="253" spans="1:16">
      <c r="A253" t="s">
        <v>298</v>
      </c>
      <c r="B253" t="s">
        <v>48</v>
      </c>
      <c r="C253" s="5">
        <v>45786</v>
      </c>
      <c r="D253" t="s">
        <v>40</v>
      </c>
      <c r="E253" t="s">
        <v>44</v>
      </c>
      <c r="F253" t="s">
        <v>45</v>
      </c>
      <c r="G253" t="str">
        <f t="shared" si="6"/>
        <v>#AppleWatch,#Health</v>
      </c>
      <c r="H253" s="6">
        <v>8988</v>
      </c>
      <c r="I253" s="6">
        <v>228</v>
      </c>
      <c r="J253" s="6">
        <v>766</v>
      </c>
      <c r="K253" s="6">
        <v>652</v>
      </c>
      <c r="L253" s="6">
        <v>63789</v>
      </c>
      <c r="M253" s="6">
        <v>219785</v>
      </c>
      <c r="N253" t="s">
        <v>32</v>
      </c>
      <c r="O253" t="str">
        <f t="shared" si="7"/>
        <v>Before</v>
      </c>
      <c r="P253" s="7">
        <v>3.5977248821535704E-2</v>
      </c>
    </row>
    <row r="254" spans="1:16">
      <c r="A254" t="s">
        <v>299</v>
      </c>
      <c r="B254" t="s">
        <v>17</v>
      </c>
      <c r="C254" s="5">
        <v>45552</v>
      </c>
      <c r="D254" t="s">
        <v>34</v>
      </c>
      <c r="E254" t="s">
        <v>41</v>
      </c>
      <c r="F254" t="s">
        <v>42</v>
      </c>
      <c r="G254" t="str">
        <f t="shared" si="6"/>
        <v>#AppleMusic,#AppleLifestyle</v>
      </c>
      <c r="H254" s="6">
        <v>20410</v>
      </c>
      <c r="I254" s="6">
        <v>1332</v>
      </c>
      <c r="J254" s="6">
        <v>472</v>
      </c>
      <c r="K254" s="6">
        <v>1202</v>
      </c>
      <c r="L254" s="6">
        <v>9418</v>
      </c>
      <c r="M254" s="6">
        <v>200806</v>
      </c>
      <c r="N254" t="s">
        <v>21</v>
      </c>
      <c r="O254" t="str">
        <f t="shared" si="7"/>
        <v>Before</v>
      </c>
      <c r="P254" s="7">
        <v>3.5903929094290347E-2</v>
      </c>
    </row>
    <row r="255" spans="1:16">
      <c r="A255" t="s">
        <v>300</v>
      </c>
      <c r="B255" t="s">
        <v>48</v>
      </c>
      <c r="C255" s="5">
        <v>45491</v>
      </c>
      <c r="D255" t="s">
        <v>34</v>
      </c>
      <c r="E255" t="s">
        <v>19</v>
      </c>
      <c r="F255" t="s">
        <v>20</v>
      </c>
      <c r="G255" t="str">
        <f t="shared" si="6"/>
        <v>#AppleWatchUltra2,#HealthTech</v>
      </c>
      <c r="H255" s="6">
        <v>16594</v>
      </c>
      <c r="I255" s="6">
        <v>809</v>
      </c>
      <c r="J255" s="6">
        <v>784</v>
      </c>
      <c r="K255" s="6">
        <v>1655</v>
      </c>
      <c r="L255" s="6">
        <v>35505</v>
      </c>
      <c r="M255" s="6">
        <v>112588</v>
      </c>
      <c r="N255" t="s">
        <v>32</v>
      </c>
      <c r="O255" t="str">
        <f t="shared" si="7"/>
        <v>Before</v>
      </c>
      <c r="P255" s="7">
        <v>3.479214230573395E-2</v>
      </c>
    </row>
    <row r="256" spans="1:16">
      <c r="A256" t="s">
        <v>301</v>
      </c>
      <c r="B256" t="s">
        <v>17</v>
      </c>
      <c r="C256" s="5">
        <v>45919</v>
      </c>
      <c r="D256" t="s">
        <v>29</v>
      </c>
      <c r="E256" t="s">
        <v>44</v>
      </c>
      <c r="F256" t="s">
        <v>45</v>
      </c>
      <c r="G256" t="str">
        <f t="shared" si="6"/>
        <v>#AppleWatch,#Health</v>
      </c>
      <c r="H256" s="6">
        <v>22128</v>
      </c>
      <c r="I256" s="6">
        <v>1004</v>
      </c>
      <c r="J256" s="6">
        <v>690</v>
      </c>
      <c r="K256" s="6">
        <v>2048</v>
      </c>
      <c r="L256" s="6">
        <v>19443</v>
      </c>
      <c r="M256" s="6">
        <v>103646</v>
      </c>
      <c r="N256" t="s">
        <v>26</v>
      </c>
      <c r="O256" t="str">
        <f t="shared" si="7"/>
        <v>Before</v>
      </c>
      <c r="P256" s="7">
        <v>3.4479704423524646E-2</v>
      </c>
    </row>
    <row r="257" spans="1:16">
      <c r="A257" t="s">
        <v>302</v>
      </c>
      <c r="B257" t="s">
        <v>28</v>
      </c>
      <c r="C257" s="5">
        <v>45519</v>
      </c>
      <c r="D257" t="s">
        <v>34</v>
      </c>
      <c r="E257" t="s">
        <v>35</v>
      </c>
      <c r="F257" t="s">
        <v>36</v>
      </c>
      <c r="G257" t="str">
        <f t="shared" si="6"/>
        <v>#AppleEvent,#iPadPro</v>
      </c>
      <c r="H257" s="6">
        <v>14977</v>
      </c>
      <c r="I257" s="6">
        <v>274</v>
      </c>
      <c r="J257" s="6">
        <v>798</v>
      </c>
      <c r="K257" s="6">
        <v>458</v>
      </c>
      <c r="L257" s="6">
        <v>6636</v>
      </c>
      <c r="M257" s="6">
        <v>43654</v>
      </c>
      <c r="N257" t="s">
        <v>21</v>
      </c>
      <c r="O257" t="str">
        <f t="shared" si="7"/>
        <v>Before</v>
      </c>
      <c r="P257" s="7">
        <v>3.4468706489625425E-2</v>
      </c>
    </row>
    <row r="258" spans="1:16">
      <c r="A258" t="s">
        <v>303</v>
      </c>
      <c r="B258" t="s">
        <v>28</v>
      </c>
      <c r="C258" s="5">
        <v>45764</v>
      </c>
      <c r="D258" t="s">
        <v>29</v>
      </c>
      <c r="E258" t="s">
        <v>44</v>
      </c>
      <c r="F258" t="s">
        <v>45</v>
      </c>
      <c r="G258" t="str">
        <f t="shared" ref="G258:G321" si="8">E258 &amp; "," &amp; F258</f>
        <v>#AppleWatch,#Health</v>
      </c>
      <c r="H258" s="6">
        <v>2009</v>
      </c>
      <c r="I258" s="6">
        <v>1037</v>
      </c>
      <c r="J258" s="6">
        <v>344</v>
      </c>
      <c r="K258" s="6">
        <v>2277</v>
      </c>
      <c r="L258" s="6">
        <v>85743</v>
      </c>
      <c r="M258" s="6">
        <v>58743</v>
      </c>
      <c r="N258" t="s">
        <v>37</v>
      </c>
      <c r="O258" t="str">
        <f t="shared" ref="O258:O321" si="9">IF(ISNUMBER(SEARCH("iPhone 16",N258)),"During","Before")</f>
        <v>During</v>
      </c>
      <c r="P258" s="7">
        <v>3.2109431245500357E-2</v>
      </c>
    </row>
    <row r="259" spans="1:16">
      <c r="A259" t="s">
        <v>304</v>
      </c>
      <c r="B259" t="s">
        <v>28</v>
      </c>
      <c r="C259" s="5">
        <v>45624</v>
      </c>
      <c r="D259" t="s">
        <v>40</v>
      </c>
      <c r="E259" t="s">
        <v>41</v>
      </c>
      <c r="F259" t="s">
        <v>42</v>
      </c>
      <c r="G259" t="str">
        <f t="shared" si="8"/>
        <v>#AppleMusic,#AppleLifestyle</v>
      </c>
      <c r="H259" s="6">
        <v>18644</v>
      </c>
      <c r="I259" s="6">
        <v>1369</v>
      </c>
      <c r="J259" s="6">
        <v>887</v>
      </c>
      <c r="K259" s="6">
        <v>1256</v>
      </c>
      <c r="L259" s="6">
        <v>43415</v>
      </c>
      <c r="M259" s="6">
        <v>88368</v>
      </c>
      <c r="N259" t="s">
        <v>32</v>
      </c>
      <c r="O259" t="str">
        <f t="shared" si="9"/>
        <v>Before</v>
      </c>
      <c r="P259" s="7">
        <v>3.207788698768177E-2</v>
      </c>
    </row>
    <row r="260" spans="1:16">
      <c r="A260" t="s">
        <v>305</v>
      </c>
      <c r="B260" t="s">
        <v>28</v>
      </c>
      <c r="C260" s="5">
        <v>45602</v>
      </c>
      <c r="D260" t="s">
        <v>18</v>
      </c>
      <c r="E260" t="s">
        <v>41</v>
      </c>
      <c r="F260" t="s">
        <v>42</v>
      </c>
      <c r="G260" t="str">
        <f t="shared" si="8"/>
        <v>#AppleMusic,#AppleLifestyle</v>
      </c>
      <c r="H260" s="6">
        <v>11865</v>
      </c>
      <c r="I260" s="6">
        <v>241</v>
      </c>
      <c r="J260" s="6">
        <v>319</v>
      </c>
      <c r="K260" s="6">
        <v>703</v>
      </c>
      <c r="L260" s="6">
        <v>69596</v>
      </c>
      <c r="M260" s="6">
        <v>177513</v>
      </c>
      <c r="N260" t="s">
        <v>37</v>
      </c>
      <c r="O260" t="str">
        <f t="shared" si="9"/>
        <v>During</v>
      </c>
      <c r="P260" s="7">
        <v>3.0867510988047343E-2</v>
      </c>
    </row>
    <row r="261" spans="1:16">
      <c r="A261" t="s">
        <v>306</v>
      </c>
      <c r="B261" t="s">
        <v>17</v>
      </c>
      <c r="C261" s="5">
        <v>45613</v>
      </c>
      <c r="D261" t="s">
        <v>40</v>
      </c>
      <c r="E261" t="s">
        <v>41</v>
      </c>
      <c r="F261" t="s">
        <v>42</v>
      </c>
      <c r="G261" t="str">
        <f t="shared" si="8"/>
        <v>#AppleMusic,#AppleLifestyle</v>
      </c>
      <c r="H261" s="6">
        <v>4219</v>
      </c>
      <c r="I261" s="6">
        <v>240</v>
      </c>
      <c r="J261" s="6">
        <v>670</v>
      </c>
      <c r="K261" s="6">
        <v>815</v>
      </c>
      <c r="L261" s="6">
        <v>11978</v>
      </c>
      <c r="M261" s="6">
        <v>159735</v>
      </c>
      <c r="N261" t="s">
        <v>37</v>
      </c>
      <c r="O261" t="str">
        <f t="shared" si="9"/>
        <v>During</v>
      </c>
      <c r="P261" s="7">
        <v>2.8916324848090057E-2</v>
      </c>
    </row>
    <row r="262" spans="1:16">
      <c r="A262" t="s">
        <v>307</v>
      </c>
      <c r="B262" t="s">
        <v>28</v>
      </c>
      <c r="C262" s="5">
        <v>45791</v>
      </c>
      <c r="D262" t="s">
        <v>18</v>
      </c>
      <c r="E262" t="s">
        <v>35</v>
      </c>
      <c r="F262" t="s">
        <v>58</v>
      </c>
      <c r="G262" t="str">
        <f t="shared" si="8"/>
        <v>#AppleEvent,#iPhone16</v>
      </c>
      <c r="H262" s="6">
        <v>9041</v>
      </c>
      <c r="I262" s="6">
        <v>1133</v>
      </c>
      <c r="J262" s="6">
        <v>612</v>
      </c>
      <c r="K262" s="6">
        <v>1687</v>
      </c>
      <c r="L262" s="6">
        <v>28102</v>
      </c>
      <c r="M262" s="6">
        <v>195683</v>
      </c>
      <c r="N262" t="s">
        <v>37</v>
      </c>
      <c r="O262" t="str">
        <f t="shared" si="9"/>
        <v>During</v>
      </c>
      <c r="P262" s="7">
        <v>2.8308999931455206E-2</v>
      </c>
    </row>
    <row r="263" spans="1:16">
      <c r="A263" t="s">
        <v>308</v>
      </c>
      <c r="B263" t="s">
        <v>48</v>
      </c>
      <c r="C263" s="5">
        <v>45462</v>
      </c>
      <c r="D263" t="s">
        <v>40</v>
      </c>
      <c r="E263" t="s">
        <v>63</v>
      </c>
      <c r="F263" t="s">
        <v>64</v>
      </c>
      <c r="G263" t="str">
        <f t="shared" si="8"/>
        <v>#iPhonePhotography,#ShotOniPhone</v>
      </c>
      <c r="H263" s="6">
        <v>20444</v>
      </c>
      <c r="I263" s="6">
        <v>233</v>
      </c>
      <c r="J263" s="6">
        <v>189</v>
      </c>
      <c r="K263" s="6">
        <v>2879</v>
      </c>
      <c r="L263" s="6">
        <v>28185</v>
      </c>
      <c r="M263" s="6">
        <v>159891</v>
      </c>
      <c r="N263" t="s">
        <v>37</v>
      </c>
      <c r="O263" t="str">
        <f t="shared" si="9"/>
        <v>During</v>
      </c>
      <c r="P263" s="7">
        <v>2.590960111698196E-2</v>
      </c>
    </row>
    <row r="264" spans="1:16">
      <c r="A264" t="s">
        <v>309</v>
      </c>
      <c r="B264" t="s">
        <v>48</v>
      </c>
      <c r="C264" s="5">
        <v>45783</v>
      </c>
      <c r="D264" t="s">
        <v>40</v>
      </c>
      <c r="E264" t="s">
        <v>19</v>
      </c>
      <c r="F264" t="s">
        <v>20</v>
      </c>
      <c r="G264" t="str">
        <f t="shared" si="8"/>
        <v>#AppleWatchUltra2,#HealthTech</v>
      </c>
      <c r="H264" s="6">
        <v>7287</v>
      </c>
      <c r="I264" s="6">
        <v>1240</v>
      </c>
      <c r="J264" s="6">
        <v>686</v>
      </c>
      <c r="K264" s="6">
        <v>1255</v>
      </c>
      <c r="L264" s="6">
        <v>15403</v>
      </c>
      <c r="M264" s="6">
        <v>147971</v>
      </c>
      <c r="N264" t="s">
        <v>21</v>
      </c>
      <c r="O264" t="str">
        <f t="shared" si="9"/>
        <v>Before</v>
      </c>
      <c r="P264" s="7">
        <v>2.5467751765081443E-2</v>
      </c>
    </row>
    <row r="265" spans="1:16">
      <c r="A265" t="s">
        <v>310</v>
      </c>
      <c r="B265" t="s">
        <v>23</v>
      </c>
      <c r="C265" s="5">
        <v>45699</v>
      </c>
      <c r="D265" t="s">
        <v>40</v>
      </c>
      <c r="E265" t="s">
        <v>116</v>
      </c>
      <c r="F265" t="s">
        <v>117</v>
      </c>
      <c r="G265" t="str">
        <f t="shared" si="8"/>
        <v>#Sustainability,#AppleEarth</v>
      </c>
      <c r="H265" s="6">
        <v>3619</v>
      </c>
      <c r="I265" s="6">
        <v>1376</v>
      </c>
      <c r="J265" s="6">
        <v>410</v>
      </c>
      <c r="K265" s="6">
        <v>2499</v>
      </c>
      <c r="L265" s="6">
        <v>58146</v>
      </c>
      <c r="M265" s="6">
        <v>52149</v>
      </c>
      <c r="N265" t="s">
        <v>21</v>
      </c>
      <c r="O265" t="str">
        <f t="shared" si="9"/>
        <v>Before</v>
      </c>
      <c r="P265" s="7">
        <v>2.2165609666394567E-2</v>
      </c>
    </row>
    <row r="266" spans="1:16">
      <c r="A266" t="s">
        <v>311</v>
      </c>
      <c r="B266" t="s">
        <v>17</v>
      </c>
      <c r="C266" s="5">
        <v>45924</v>
      </c>
      <c r="D266" t="s">
        <v>29</v>
      </c>
      <c r="E266" t="s">
        <v>49</v>
      </c>
      <c r="F266" t="s">
        <v>35</v>
      </c>
      <c r="G266" t="str">
        <f t="shared" si="8"/>
        <v>#iPhone16Launch,#AppleEvent</v>
      </c>
      <c r="H266" s="6">
        <v>3342</v>
      </c>
      <c r="I266" s="6">
        <v>787</v>
      </c>
      <c r="J266" s="6">
        <v>375</v>
      </c>
      <c r="K266" s="6">
        <v>907</v>
      </c>
      <c r="L266" s="6">
        <v>85823</v>
      </c>
      <c r="M266" s="6">
        <v>99189</v>
      </c>
      <c r="N266" t="s">
        <v>26</v>
      </c>
      <c r="O266" t="str">
        <f t="shared" si="9"/>
        <v>Before</v>
      </c>
      <c r="P266" s="7">
        <v>2.0280718700881641E-2</v>
      </c>
    </row>
    <row r="267" spans="1:16">
      <c r="A267" t="s">
        <v>312</v>
      </c>
      <c r="B267" t="s">
        <v>28</v>
      </c>
      <c r="C267" s="5">
        <v>45925</v>
      </c>
      <c r="D267" t="s">
        <v>40</v>
      </c>
      <c r="E267" t="s">
        <v>63</v>
      </c>
      <c r="F267" t="s">
        <v>64</v>
      </c>
      <c r="G267" t="str">
        <f t="shared" si="8"/>
        <v>#iPhonePhotography,#ShotOniPhone</v>
      </c>
      <c r="H267" s="6">
        <v>12568</v>
      </c>
      <c r="I267" s="6">
        <v>541</v>
      </c>
      <c r="J267" s="6">
        <v>273</v>
      </c>
      <c r="K267" s="6">
        <v>2767</v>
      </c>
      <c r="L267" s="6">
        <v>22331</v>
      </c>
      <c r="M267" s="6">
        <v>192747</v>
      </c>
      <c r="N267" t="s">
        <v>26</v>
      </c>
      <c r="O267" t="str">
        <f t="shared" si="9"/>
        <v>Before</v>
      </c>
      <c r="P267" s="7">
        <v>2.0023249172401864E-2</v>
      </c>
    </row>
    <row r="268" spans="1:16">
      <c r="A268" t="s">
        <v>313</v>
      </c>
      <c r="B268" t="s">
        <v>23</v>
      </c>
      <c r="C268" s="5">
        <v>45926</v>
      </c>
      <c r="D268" t="s">
        <v>34</v>
      </c>
      <c r="E268" t="s">
        <v>49</v>
      </c>
      <c r="F268" t="s">
        <v>35</v>
      </c>
      <c r="G268" t="str">
        <f t="shared" si="8"/>
        <v>#iPhone16Launch,#AppleEvent</v>
      </c>
      <c r="H268" s="6">
        <v>21216</v>
      </c>
      <c r="I268" s="6">
        <v>226</v>
      </c>
      <c r="J268" s="6">
        <v>187</v>
      </c>
      <c r="K268" s="6">
        <v>1573</v>
      </c>
      <c r="L268" s="6">
        <v>62688</v>
      </c>
      <c r="M268" s="6">
        <v>111031</v>
      </c>
      <c r="N268" t="s">
        <v>26</v>
      </c>
      <c r="O268" t="str">
        <f t="shared" si="9"/>
        <v>Before</v>
      </c>
      <c r="P268" s="7">
        <v>1.6616512501514722E-2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336DC-3C8B-43F4-9808-9F6B319DA6DE}">
  <dimension ref="A1:G6"/>
  <sheetViews>
    <sheetView workbookViewId="0">
      <selection activeCell="C24" sqref="C24"/>
    </sheetView>
  </sheetViews>
  <sheetFormatPr defaultRowHeight="14.4"/>
  <cols>
    <col min="1" max="1" width="26" bestFit="1" customWidth="1"/>
    <col min="2" max="2" width="12.109375" bestFit="1" customWidth="1"/>
    <col min="3" max="3" width="11.33203125" bestFit="1" customWidth="1"/>
    <col min="4" max="4" width="23.6640625" bestFit="1" customWidth="1"/>
    <col min="5" max="5" width="11.88671875" bestFit="1" customWidth="1"/>
    <col min="6" max="6" width="13.21875" bestFit="1" customWidth="1"/>
    <col min="7" max="7" width="19.6640625" bestFit="1" customWidth="1"/>
  </cols>
  <sheetData>
    <row r="1" spans="1:7">
      <c r="A1" s="8" t="s">
        <v>322</v>
      </c>
      <c r="B1" s="8" t="s">
        <v>323</v>
      </c>
      <c r="C1" s="8" t="s">
        <v>324</v>
      </c>
      <c r="D1" s="8" t="s">
        <v>325</v>
      </c>
      <c r="E1" s="8" t="s">
        <v>320</v>
      </c>
      <c r="F1" s="8" t="s">
        <v>12</v>
      </c>
      <c r="G1" s="8" t="s">
        <v>326</v>
      </c>
    </row>
    <row r="2" spans="1:7">
      <c r="A2" t="s">
        <v>37</v>
      </c>
      <c r="B2" s="5">
        <v>45458</v>
      </c>
      <c r="C2" s="5">
        <v>45488</v>
      </c>
      <c r="D2" t="s">
        <v>327</v>
      </c>
      <c r="E2">
        <v>85000</v>
      </c>
      <c r="F2">
        <v>950000</v>
      </c>
      <c r="G2" s="7">
        <v>0.45</v>
      </c>
    </row>
    <row r="3" spans="1:7">
      <c r="A3" t="s">
        <v>53</v>
      </c>
      <c r="B3" s="5">
        <v>45566</v>
      </c>
      <c r="C3" s="5">
        <v>45596</v>
      </c>
      <c r="D3" t="s">
        <v>328</v>
      </c>
      <c r="E3">
        <v>60000</v>
      </c>
      <c r="F3">
        <v>780000</v>
      </c>
      <c r="G3" s="7">
        <v>0.38</v>
      </c>
    </row>
    <row r="4" spans="1:7">
      <c r="A4" t="s">
        <v>21</v>
      </c>
      <c r="B4" s="5">
        <v>45651</v>
      </c>
      <c r="C4" s="5">
        <v>45667</v>
      </c>
      <c r="D4" t="s">
        <v>329</v>
      </c>
      <c r="E4">
        <v>55000</v>
      </c>
      <c r="F4">
        <v>700000</v>
      </c>
      <c r="G4" s="7">
        <v>0.41</v>
      </c>
    </row>
    <row r="5" spans="1:7">
      <c r="A5" t="s">
        <v>32</v>
      </c>
      <c r="B5" s="5">
        <v>45717</v>
      </c>
      <c r="C5" s="5">
        <v>45747</v>
      </c>
      <c r="D5" t="s">
        <v>330</v>
      </c>
      <c r="E5">
        <v>40000</v>
      </c>
      <c r="F5">
        <v>550000</v>
      </c>
      <c r="G5" s="7">
        <v>0.32</v>
      </c>
    </row>
    <row r="6" spans="1:7">
      <c r="A6" t="s">
        <v>26</v>
      </c>
      <c r="B6" s="5">
        <v>45901</v>
      </c>
      <c r="C6" s="5">
        <v>45930</v>
      </c>
      <c r="D6" t="s">
        <v>331</v>
      </c>
      <c r="E6">
        <v>75000</v>
      </c>
      <c r="F6">
        <v>880000</v>
      </c>
      <c r="G6" s="7">
        <v>0.47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57AA5-2A39-489C-B544-FE294E35BFAA}">
  <dimension ref="A1:I201"/>
  <sheetViews>
    <sheetView workbookViewId="0">
      <selection activeCell="I1" sqref="I1:I1048576"/>
    </sheetView>
  </sheetViews>
  <sheetFormatPr defaultRowHeight="14.4"/>
  <cols>
    <col min="1" max="1" width="18" bestFit="1" customWidth="1"/>
    <col min="2" max="2" width="10.5546875" bestFit="1" customWidth="1"/>
    <col min="3" max="3" width="16" bestFit="1" customWidth="1"/>
    <col min="4" max="4" width="11.6640625" bestFit="1" customWidth="1"/>
    <col min="5" max="5" width="15.109375" bestFit="1" customWidth="1"/>
    <col min="6" max="6" width="16.44140625" bestFit="1" customWidth="1"/>
    <col min="7" max="7" width="18.6640625" bestFit="1" customWidth="1"/>
    <col min="8" max="8" width="26" bestFit="1" customWidth="1"/>
    <col min="9" max="9" width="11.88671875" bestFit="1" customWidth="1"/>
    <col min="10" max="10" width="11.88671875" customWidth="1"/>
  </cols>
  <sheetData>
    <row r="1" spans="1:9" s="9" customFormat="1">
      <c r="A1" s="8" t="s">
        <v>314</v>
      </c>
      <c r="B1" s="8" t="s">
        <v>1</v>
      </c>
      <c r="C1" s="8" t="s">
        <v>315</v>
      </c>
      <c r="D1" s="8" t="s">
        <v>316</v>
      </c>
      <c r="E1" s="8" t="s">
        <v>317</v>
      </c>
      <c r="F1" s="8" t="s">
        <v>318</v>
      </c>
      <c r="G1" s="8" t="s">
        <v>319</v>
      </c>
      <c r="H1" s="8" t="s">
        <v>13</v>
      </c>
      <c r="I1" s="8" t="s">
        <v>320</v>
      </c>
    </row>
    <row r="2" spans="1:9">
      <c r="A2" s="5">
        <v>45446</v>
      </c>
      <c r="B2" t="s">
        <v>28</v>
      </c>
      <c r="C2">
        <v>4138</v>
      </c>
      <c r="D2">
        <v>361</v>
      </c>
      <c r="E2">
        <v>3777</v>
      </c>
      <c r="F2">
        <v>103777</v>
      </c>
      <c r="G2" s="7">
        <v>0.5663779064725325</v>
      </c>
      <c r="H2" s="10" t="s">
        <v>321</v>
      </c>
      <c r="I2">
        <v>23944</v>
      </c>
    </row>
    <row r="3" spans="1:9">
      <c r="A3" s="5">
        <v>45446</v>
      </c>
      <c r="B3" t="s">
        <v>48</v>
      </c>
      <c r="C3">
        <v>8693</v>
      </c>
      <c r="D3">
        <v>1261</v>
      </c>
      <c r="E3">
        <v>7215</v>
      </c>
      <c r="F3">
        <v>111209</v>
      </c>
      <c r="G3" s="7">
        <v>0.69475492091467417</v>
      </c>
      <c r="H3" t="s">
        <v>321</v>
      </c>
      <c r="I3">
        <v>29873</v>
      </c>
    </row>
    <row r="4" spans="1:9">
      <c r="A4" s="5">
        <v>45446</v>
      </c>
      <c r="B4" t="s">
        <v>17</v>
      </c>
      <c r="C4">
        <v>9264</v>
      </c>
      <c r="D4">
        <v>1141</v>
      </c>
      <c r="E4">
        <v>7452</v>
      </c>
      <c r="F4">
        <v>119332</v>
      </c>
      <c r="G4" s="7">
        <v>0.92312204605638049</v>
      </c>
      <c r="H4" t="s">
        <v>321</v>
      </c>
      <c r="I4">
        <v>50372</v>
      </c>
    </row>
    <row r="5" spans="1:9">
      <c r="A5" s="5">
        <v>45446</v>
      </c>
      <c r="B5" t="s">
        <v>17</v>
      </c>
      <c r="C5">
        <v>8842</v>
      </c>
      <c r="D5">
        <v>971</v>
      </c>
      <c r="E5">
        <v>8654</v>
      </c>
      <c r="F5">
        <v>127203</v>
      </c>
      <c r="G5" s="7">
        <v>0.16351815601833292</v>
      </c>
      <c r="H5" t="s">
        <v>321</v>
      </c>
      <c r="I5">
        <v>33928</v>
      </c>
    </row>
    <row r="6" spans="1:9">
      <c r="A6" s="5">
        <v>45453</v>
      </c>
      <c r="B6" t="s">
        <v>28</v>
      </c>
      <c r="C6">
        <v>7721</v>
      </c>
      <c r="D6">
        <v>506</v>
      </c>
      <c r="E6">
        <v>5442</v>
      </c>
      <c r="F6">
        <v>134418</v>
      </c>
      <c r="G6" s="7">
        <v>0.35577824398518049</v>
      </c>
      <c r="H6" t="s">
        <v>321</v>
      </c>
      <c r="I6">
        <v>25379</v>
      </c>
    </row>
    <row r="7" spans="1:9">
      <c r="A7" s="5">
        <v>45453</v>
      </c>
      <c r="B7" t="s">
        <v>17</v>
      </c>
      <c r="C7">
        <v>8002</v>
      </c>
      <c r="D7">
        <v>524</v>
      </c>
      <c r="E7">
        <v>7151</v>
      </c>
      <c r="F7">
        <v>141896</v>
      </c>
      <c r="G7" s="7">
        <v>0.52064892597395274</v>
      </c>
      <c r="H7" t="s">
        <v>321</v>
      </c>
      <c r="I7">
        <v>46751</v>
      </c>
    </row>
    <row r="8" spans="1:9">
      <c r="A8" s="5">
        <v>45453</v>
      </c>
      <c r="B8" t="s">
        <v>48</v>
      </c>
      <c r="C8">
        <v>5225</v>
      </c>
      <c r="D8">
        <v>291</v>
      </c>
      <c r="E8">
        <v>3586</v>
      </c>
      <c r="F8">
        <v>146830</v>
      </c>
      <c r="G8" s="7">
        <v>0.19551862698358652</v>
      </c>
      <c r="H8" t="s">
        <v>321</v>
      </c>
      <c r="I8">
        <v>44546</v>
      </c>
    </row>
    <row r="9" spans="1:9">
      <c r="A9" s="5">
        <v>45453</v>
      </c>
      <c r="B9" t="s">
        <v>48</v>
      </c>
      <c r="C9">
        <v>3978</v>
      </c>
      <c r="D9">
        <v>543</v>
      </c>
      <c r="E9">
        <v>7429</v>
      </c>
      <c r="F9">
        <v>150265</v>
      </c>
      <c r="G9" s="7">
        <v>0.4915981765547533</v>
      </c>
      <c r="H9" t="s">
        <v>321</v>
      </c>
      <c r="I9">
        <v>34286</v>
      </c>
    </row>
    <row r="10" spans="1:9">
      <c r="A10" s="5">
        <v>45460</v>
      </c>
      <c r="B10" t="s">
        <v>28</v>
      </c>
      <c r="C10">
        <v>8373</v>
      </c>
      <c r="D10">
        <v>921</v>
      </c>
      <c r="E10">
        <v>1741</v>
      </c>
      <c r="F10">
        <v>157717</v>
      </c>
      <c r="G10" s="7">
        <v>0.12226329438170901</v>
      </c>
      <c r="H10" t="s">
        <v>37</v>
      </c>
      <c r="I10">
        <v>15110</v>
      </c>
    </row>
    <row r="11" spans="1:9">
      <c r="A11" s="5">
        <v>45460</v>
      </c>
      <c r="B11" t="s">
        <v>48</v>
      </c>
      <c r="C11">
        <v>6907</v>
      </c>
      <c r="D11">
        <v>834</v>
      </c>
      <c r="E11">
        <v>3213</v>
      </c>
      <c r="F11">
        <v>163790</v>
      </c>
      <c r="G11" s="7">
        <v>0.54158984064961235</v>
      </c>
      <c r="H11" t="s">
        <v>37</v>
      </c>
      <c r="I11">
        <v>22087</v>
      </c>
    </row>
    <row r="12" spans="1:9">
      <c r="A12" s="5">
        <v>45460</v>
      </c>
      <c r="B12" t="s">
        <v>23</v>
      </c>
      <c r="C12">
        <v>7097</v>
      </c>
      <c r="D12">
        <v>369</v>
      </c>
      <c r="E12">
        <v>5795</v>
      </c>
      <c r="F12">
        <v>170518</v>
      </c>
      <c r="G12" s="7">
        <v>9.2506362964613717E-2</v>
      </c>
      <c r="H12" t="s">
        <v>37</v>
      </c>
      <c r="I12">
        <v>33762</v>
      </c>
    </row>
    <row r="13" spans="1:9">
      <c r="A13" s="5">
        <v>45460</v>
      </c>
      <c r="B13" t="s">
        <v>28</v>
      </c>
      <c r="C13">
        <v>6656</v>
      </c>
      <c r="D13">
        <v>978</v>
      </c>
      <c r="E13">
        <v>6920</v>
      </c>
      <c r="F13">
        <v>176196</v>
      </c>
      <c r="G13" s="7">
        <v>0.60425889350496043</v>
      </c>
      <c r="H13" t="s">
        <v>37</v>
      </c>
      <c r="I13">
        <v>27081</v>
      </c>
    </row>
    <row r="14" spans="1:9">
      <c r="A14" s="5">
        <v>45467</v>
      </c>
      <c r="B14" t="s">
        <v>48</v>
      </c>
      <c r="C14">
        <v>9984</v>
      </c>
      <c r="D14">
        <v>1330</v>
      </c>
      <c r="E14">
        <v>1513</v>
      </c>
      <c r="F14">
        <v>184850</v>
      </c>
      <c r="G14" s="7">
        <v>0.57524479307546661</v>
      </c>
      <c r="H14" t="s">
        <v>37</v>
      </c>
      <c r="I14">
        <v>44947</v>
      </c>
    </row>
    <row r="15" spans="1:9">
      <c r="A15" s="5">
        <v>45467</v>
      </c>
      <c r="B15" t="s">
        <v>28</v>
      </c>
      <c r="C15">
        <v>5259</v>
      </c>
      <c r="D15">
        <v>374</v>
      </c>
      <c r="E15">
        <v>5520</v>
      </c>
      <c r="F15">
        <v>189735</v>
      </c>
      <c r="G15" s="7">
        <v>0.14827522597306769</v>
      </c>
      <c r="H15" t="s">
        <v>37</v>
      </c>
      <c r="I15">
        <v>19596</v>
      </c>
    </row>
    <row r="16" spans="1:9">
      <c r="A16" s="5">
        <v>45467</v>
      </c>
      <c r="B16" t="s">
        <v>17</v>
      </c>
      <c r="C16">
        <v>9286</v>
      </c>
      <c r="D16">
        <v>633</v>
      </c>
      <c r="E16">
        <v>7442</v>
      </c>
      <c r="F16">
        <v>198388</v>
      </c>
      <c r="G16" s="7">
        <v>5.4343004617214759E-2</v>
      </c>
      <c r="H16" t="s">
        <v>37</v>
      </c>
      <c r="I16">
        <v>48019</v>
      </c>
    </row>
    <row r="17" spans="1:9">
      <c r="A17" s="5">
        <v>45467</v>
      </c>
      <c r="B17" t="s">
        <v>48</v>
      </c>
      <c r="C17">
        <v>6901</v>
      </c>
      <c r="D17">
        <v>471</v>
      </c>
      <c r="E17">
        <v>7224</v>
      </c>
      <c r="F17">
        <v>204818</v>
      </c>
      <c r="G17" s="7">
        <v>0.60827661631301944</v>
      </c>
      <c r="H17" t="s">
        <v>37</v>
      </c>
      <c r="I17">
        <v>52003</v>
      </c>
    </row>
    <row r="18" spans="1:9">
      <c r="A18" s="5">
        <v>45474</v>
      </c>
      <c r="B18" t="s">
        <v>23</v>
      </c>
      <c r="C18">
        <v>5917</v>
      </c>
      <c r="D18">
        <v>475</v>
      </c>
      <c r="E18">
        <v>1309</v>
      </c>
      <c r="F18">
        <v>210260</v>
      </c>
      <c r="G18" s="7">
        <v>0.17894035955483692</v>
      </c>
      <c r="H18" t="s">
        <v>37</v>
      </c>
      <c r="I18">
        <v>28313</v>
      </c>
    </row>
    <row r="19" spans="1:9">
      <c r="A19" s="5">
        <v>45474</v>
      </c>
      <c r="B19" t="s">
        <v>48</v>
      </c>
      <c r="C19">
        <v>9429</v>
      </c>
      <c r="D19">
        <v>966</v>
      </c>
      <c r="E19">
        <v>8361</v>
      </c>
      <c r="F19">
        <v>218723</v>
      </c>
      <c r="G19" s="7">
        <v>7.6914636320825888E-2</v>
      </c>
      <c r="H19" t="s">
        <v>37</v>
      </c>
      <c r="I19">
        <v>57639</v>
      </c>
    </row>
    <row r="20" spans="1:9">
      <c r="A20" s="5">
        <v>45474</v>
      </c>
      <c r="B20" t="s">
        <v>28</v>
      </c>
      <c r="C20">
        <v>3530</v>
      </c>
      <c r="D20">
        <v>328</v>
      </c>
      <c r="E20">
        <v>2421</v>
      </c>
      <c r="F20">
        <v>221925</v>
      </c>
      <c r="G20" s="7">
        <v>0.12837219781457701</v>
      </c>
      <c r="H20" t="s">
        <v>37</v>
      </c>
      <c r="I20">
        <v>11013</v>
      </c>
    </row>
    <row r="21" spans="1:9">
      <c r="A21" s="5">
        <v>45474</v>
      </c>
      <c r="B21" t="s">
        <v>28</v>
      </c>
      <c r="C21">
        <v>2960</v>
      </c>
      <c r="D21">
        <v>234</v>
      </c>
      <c r="E21">
        <v>7767</v>
      </c>
      <c r="F21">
        <v>224651</v>
      </c>
      <c r="G21" s="7">
        <v>0.17412786945083711</v>
      </c>
      <c r="H21" t="s">
        <v>37</v>
      </c>
      <c r="I21">
        <v>59378</v>
      </c>
    </row>
    <row r="22" spans="1:9">
      <c r="A22" s="5">
        <v>45481</v>
      </c>
      <c r="B22" t="s">
        <v>48</v>
      </c>
      <c r="C22">
        <v>8045</v>
      </c>
      <c r="D22">
        <v>894</v>
      </c>
      <c r="E22">
        <v>7565</v>
      </c>
      <c r="F22">
        <v>231802</v>
      </c>
      <c r="G22" s="7">
        <v>0.47634187798207089</v>
      </c>
      <c r="H22" t="s">
        <v>37</v>
      </c>
      <c r="I22">
        <v>33705</v>
      </c>
    </row>
    <row r="23" spans="1:9">
      <c r="A23" s="5">
        <v>45481</v>
      </c>
      <c r="B23" t="s">
        <v>23</v>
      </c>
      <c r="C23">
        <v>2048</v>
      </c>
      <c r="D23">
        <v>130</v>
      </c>
      <c r="E23">
        <v>6439</v>
      </c>
      <c r="F23">
        <v>233720</v>
      </c>
      <c r="G23" s="7">
        <v>0.39284614068115686</v>
      </c>
      <c r="H23" t="s">
        <v>37</v>
      </c>
      <c r="I23">
        <v>11828</v>
      </c>
    </row>
    <row r="24" spans="1:9">
      <c r="A24" s="5">
        <v>45481</v>
      </c>
      <c r="B24" t="s">
        <v>23</v>
      </c>
      <c r="C24">
        <v>6772</v>
      </c>
      <c r="D24">
        <v>536</v>
      </c>
      <c r="E24">
        <v>7218</v>
      </c>
      <c r="F24">
        <v>239956</v>
      </c>
      <c r="G24" s="7">
        <v>9.8205504342462793E-2</v>
      </c>
      <c r="H24" t="s">
        <v>37</v>
      </c>
      <c r="I24">
        <v>17909</v>
      </c>
    </row>
    <row r="25" spans="1:9">
      <c r="A25" s="5">
        <v>45481</v>
      </c>
      <c r="B25" t="s">
        <v>23</v>
      </c>
      <c r="C25">
        <v>3529</v>
      </c>
      <c r="D25">
        <v>305</v>
      </c>
      <c r="E25">
        <v>1017</v>
      </c>
      <c r="F25">
        <v>243180</v>
      </c>
      <c r="G25" s="7">
        <v>0.41606628834608111</v>
      </c>
      <c r="H25" t="s">
        <v>37</v>
      </c>
      <c r="I25">
        <v>48356</v>
      </c>
    </row>
    <row r="26" spans="1:9">
      <c r="A26" s="5">
        <v>45488</v>
      </c>
      <c r="B26" t="s">
        <v>28</v>
      </c>
      <c r="C26">
        <v>3964</v>
      </c>
      <c r="D26">
        <v>378</v>
      </c>
      <c r="E26">
        <v>5206</v>
      </c>
      <c r="F26">
        <v>246766</v>
      </c>
      <c r="G26" s="7">
        <v>0.136355899921383</v>
      </c>
      <c r="H26" t="s">
        <v>37</v>
      </c>
      <c r="I26">
        <v>23109</v>
      </c>
    </row>
    <row r="27" spans="1:9">
      <c r="A27" s="5">
        <v>45488</v>
      </c>
      <c r="B27" t="s">
        <v>48</v>
      </c>
      <c r="C27">
        <v>8137</v>
      </c>
      <c r="D27">
        <v>1045</v>
      </c>
      <c r="E27">
        <v>8485</v>
      </c>
      <c r="F27">
        <v>253858</v>
      </c>
      <c r="G27" s="7">
        <v>0.2047246886054408</v>
      </c>
      <c r="H27" t="s">
        <v>37</v>
      </c>
      <c r="I27">
        <v>12023</v>
      </c>
    </row>
    <row r="28" spans="1:9">
      <c r="A28" s="5">
        <v>45488</v>
      </c>
      <c r="B28" t="s">
        <v>17</v>
      </c>
      <c r="C28">
        <v>1963</v>
      </c>
      <c r="D28">
        <v>137</v>
      </c>
      <c r="E28">
        <v>1369</v>
      </c>
      <c r="F28">
        <v>255684</v>
      </c>
      <c r="G28" s="7">
        <v>0.112083665774941</v>
      </c>
      <c r="H28" t="s">
        <v>37</v>
      </c>
      <c r="I28">
        <v>24537</v>
      </c>
    </row>
    <row r="29" spans="1:9">
      <c r="A29" s="5">
        <v>45488</v>
      </c>
      <c r="B29" t="s">
        <v>28</v>
      </c>
      <c r="C29">
        <v>1536</v>
      </c>
      <c r="D29">
        <v>155</v>
      </c>
      <c r="E29">
        <v>6642</v>
      </c>
      <c r="F29">
        <v>257065</v>
      </c>
      <c r="G29" s="7">
        <v>0.12157625503277381</v>
      </c>
      <c r="H29" t="s">
        <v>37</v>
      </c>
      <c r="I29">
        <v>36661</v>
      </c>
    </row>
    <row r="30" spans="1:9">
      <c r="A30" s="5">
        <v>45495</v>
      </c>
      <c r="B30" t="s">
        <v>23</v>
      </c>
      <c r="C30">
        <v>8340</v>
      </c>
      <c r="D30">
        <v>911</v>
      </c>
      <c r="E30">
        <v>3592</v>
      </c>
      <c r="F30">
        <v>264494</v>
      </c>
      <c r="G30" s="7">
        <v>0.37302925586213681</v>
      </c>
      <c r="H30" t="s">
        <v>321</v>
      </c>
      <c r="I30">
        <v>48659</v>
      </c>
    </row>
    <row r="31" spans="1:9">
      <c r="A31" s="5">
        <v>45495</v>
      </c>
      <c r="B31" t="s">
        <v>48</v>
      </c>
      <c r="C31">
        <v>8179</v>
      </c>
      <c r="D31">
        <v>446</v>
      </c>
      <c r="E31">
        <v>1367</v>
      </c>
      <c r="F31">
        <v>272227</v>
      </c>
      <c r="G31" s="7">
        <v>0.41821714965818968</v>
      </c>
      <c r="H31" t="s">
        <v>321</v>
      </c>
      <c r="I31">
        <v>43848</v>
      </c>
    </row>
    <row r="32" spans="1:9">
      <c r="A32" s="5">
        <v>45495</v>
      </c>
      <c r="B32" t="s">
        <v>23</v>
      </c>
      <c r="C32">
        <v>8967</v>
      </c>
      <c r="D32">
        <v>993</v>
      </c>
      <c r="E32">
        <v>8200</v>
      </c>
      <c r="F32">
        <v>280201</v>
      </c>
      <c r="G32" s="7">
        <v>0.52792102811910024</v>
      </c>
      <c r="H32" t="s">
        <v>321</v>
      </c>
      <c r="I32">
        <v>47804</v>
      </c>
    </row>
    <row r="33" spans="1:9">
      <c r="A33" s="5">
        <v>45495</v>
      </c>
      <c r="B33" t="s">
        <v>17</v>
      </c>
      <c r="C33">
        <v>9734</v>
      </c>
      <c r="D33">
        <v>652</v>
      </c>
      <c r="E33">
        <v>9254</v>
      </c>
      <c r="F33">
        <v>289283</v>
      </c>
      <c r="G33" s="7">
        <v>0.49647922622483864</v>
      </c>
      <c r="H33" t="s">
        <v>321</v>
      </c>
      <c r="I33">
        <v>25379</v>
      </c>
    </row>
    <row r="34" spans="1:9">
      <c r="A34" s="5">
        <v>45502</v>
      </c>
      <c r="B34" t="s">
        <v>23</v>
      </c>
      <c r="C34">
        <v>1845</v>
      </c>
      <c r="D34">
        <v>104</v>
      </c>
      <c r="E34">
        <v>7471</v>
      </c>
      <c r="F34">
        <v>291024</v>
      </c>
      <c r="G34" s="7">
        <v>0.28158158777282971</v>
      </c>
      <c r="H34" t="s">
        <v>321</v>
      </c>
      <c r="I34">
        <v>37766</v>
      </c>
    </row>
    <row r="35" spans="1:9">
      <c r="A35" s="5">
        <v>45502</v>
      </c>
      <c r="B35" t="s">
        <v>23</v>
      </c>
      <c r="C35">
        <v>6777</v>
      </c>
      <c r="D35">
        <v>981</v>
      </c>
      <c r="E35">
        <v>8518</v>
      </c>
      <c r="F35">
        <v>296820</v>
      </c>
      <c r="G35" s="7">
        <v>0.23920557913887203</v>
      </c>
      <c r="H35" t="s">
        <v>321</v>
      </c>
      <c r="I35">
        <v>53590</v>
      </c>
    </row>
    <row r="36" spans="1:9">
      <c r="A36" s="5">
        <v>45502</v>
      </c>
      <c r="B36" t="s">
        <v>17</v>
      </c>
      <c r="C36">
        <v>4036</v>
      </c>
      <c r="D36">
        <v>591</v>
      </c>
      <c r="E36">
        <v>7260</v>
      </c>
      <c r="F36">
        <v>300265</v>
      </c>
      <c r="G36" s="7">
        <v>0.44219272975538271</v>
      </c>
      <c r="H36" t="s">
        <v>321</v>
      </c>
      <c r="I36">
        <v>12563</v>
      </c>
    </row>
    <row r="37" spans="1:9">
      <c r="A37" s="5">
        <v>45502</v>
      </c>
      <c r="B37" t="s">
        <v>48</v>
      </c>
      <c r="C37">
        <v>6947</v>
      </c>
      <c r="D37">
        <v>908</v>
      </c>
      <c r="E37">
        <v>3805</v>
      </c>
      <c r="F37">
        <v>306304</v>
      </c>
      <c r="G37" s="7">
        <v>0.14117673944839121</v>
      </c>
      <c r="H37" t="s">
        <v>321</v>
      </c>
      <c r="I37">
        <v>46060</v>
      </c>
    </row>
    <row r="38" spans="1:9">
      <c r="A38" s="5">
        <v>45509</v>
      </c>
      <c r="B38" t="s">
        <v>28</v>
      </c>
      <c r="C38">
        <v>3494</v>
      </c>
      <c r="D38">
        <v>281</v>
      </c>
      <c r="E38">
        <v>3420</v>
      </c>
      <c r="F38">
        <v>309517</v>
      </c>
      <c r="G38" s="7">
        <v>0.27765518533715428</v>
      </c>
      <c r="H38" t="s">
        <v>321</v>
      </c>
      <c r="I38">
        <v>39197</v>
      </c>
    </row>
    <row r="39" spans="1:9">
      <c r="A39" s="5">
        <v>45509</v>
      </c>
      <c r="B39" t="s">
        <v>48</v>
      </c>
      <c r="C39">
        <v>3719</v>
      </c>
      <c r="D39">
        <v>222</v>
      </c>
      <c r="E39">
        <v>1290</v>
      </c>
      <c r="F39">
        <v>313014</v>
      </c>
      <c r="G39" s="7">
        <v>0.2166931830525152</v>
      </c>
      <c r="H39" t="s">
        <v>321</v>
      </c>
      <c r="I39">
        <v>13586</v>
      </c>
    </row>
    <row r="40" spans="1:9">
      <c r="A40" s="5">
        <v>45509</v>
      </c>
      <c r="B40" t="s">
        <v>17</v>
      </c>
      <c r="C40">
        <v>2884</v>
      </c>
      <c r="D40">
        <v>341</v>
      </c>
      <c r="E40">
        <v>9125</v>
      </c>
      <c r="F40">
        <v>315557</v>
      </c>
      <c r="G40" s="7">
        <v>0.46999749649033307</v>
      </c>
      <c r="H40" t="s">
        <v>321</v>
      </c>
      <c r="I40">
        <v>26087</v>
      </c>
    </row>
    <row r="41" spans="1:9">
      <c r="A41" s="5">
        <v>45509</v>
      </c>
      <c r="B41" t="s">
        <v>23</v>
      </c>
      <c r="C41">
        <v>5349</v>
      </c>
      <c r="D41">
        <v>502</v>
      </c>
      <c r="E41">
        <v>6631</v>
      </c>
      <c r="F41">
        <v>320404</v>
      </c>
      <c r="G41" s="7">
        <v>5.2152906954969352E-2</v>
      </c>
      <c r="H41" t="s">
        <v>321</v>
      </c>
      <c r="I41">
        <v>58868</v>
      </c>
    </row>
    <row r="42" spans="1:9">
      <c r="A42" s="5">
        <v>45516</v>
      </c>
      <c r="B42" t="s">
        <v>48</v>
      </c>
      <c r="C42">
        <v>6179</v>
      </c>
      <c r="D42">
        <v>384</v>
      </c>
      <c r="E42">
        <v>8723</v>
      </c>
      <c r="F42">
        <v>326199</v>
      </c>
      <c r="G42" s="7">
        <v>0.14712184893270672</v>
      </c>
      <c r="H42" t="s">
        <v>321</v>
      </c>
      <c r="I42">
        <v>33225</v>
      </c>
    </row>
    <row r="43" spans="1:9">
      <c r="A43" s="5">
        <v>45516</v>
      </c>
      <c r="B43" t="s">
        <v>28</v>
      </c>
      <c r="C43">
        <v>7610</v>
      </c>
      <c r="D43">
        <v>757</v>
      </c>
      <c r="E43">
        <v>7509</v>
      </c>
      <c r="F43">
        <v>333052</v>
      </c>
      <c r="G43" s="7">
        <v>0.44450416151231642</v>
      </c>
      <c r="H43" t="s">
        <v>321</v>
      </c>
      <c r="I43">
        <v>39750</v>
      </c>
    </row>
    <row r="44" spans="1:9">
      <c r="A44" s="5">
        <v>45516</v>
      </c>
      <c r="B44" t="s">
        <v>17</v>
      </c>
      <c r="C44">
        <v>7430</v>
      </c>
      <c r="D44">
        <v>397</v>
      </c>
      <c r="E44">
        <v>9044</v>
      </c>
      <c r="F44">
        <v>340085</v>
      </c>
      <c r="G44" s="7">
        <v>0.28065042562888687</v>
      </c>
      <c r="H44" t="s">
        <v>321</v>
      </c>
      <c r="I44">
        <v>16643</v>
      </c>
    </row>
    <row r="45" spans="1:9">
      <c r="A45" s="5">
        <v>45516</v>
      </c>
      <c r="B45" t="s">
        <v>48</v>
      </c>
      <c r="C45">
        <v>8154</v>
      </c>
      <c r="D45">
        <v>1149</v>
      </c>
      <c r="E45">
        <v>6272</v>
      </c>
      <c r="F45">
        <v>347090</v>
      </c>
      <c r="G45" s="7">
        <v>0.26003918292085632</v>
      </c>
      <c r="H45" t="s">
        <v>321</v>
      </c>
      <c r="I45">
        <v>37523</v>
      </c>
    </row>
    <row r="46" spans="1:9">
      <c r="A46" s="5">
        <v>45523</v>
      </c>
      <c r="B46" t="s">
        <v>28</v>
      </c>
      <c r="C46">
        <v>7488</v>
      </c>
      <c r="D46">
        <v>568</v>
      </c>
      <c r="E46">
        <v>6434</v>
      </c>
      <c r="F46">
        <v>354010</v>
      </c>
      <c r="G46" s="7">
        <v>0.13477302901047991</v>
      </c>
      <c r="H46" t="s">
        <v>321</v>
      </c>
      <c r="I46">
        <v>46727</v>
      </c>
    </row>
    <row r="47" spans="1:9">
      <c r="A47" s="5">
        <v>45523</v>
      </c>
      <c r="B47" t="s">
        <v>17</v>
      </c>
      <c r="C47">
        <v>5737</v>
      </c>
      <c r="D47">
        <v>666</v>
      </c>
      <c r="E47">
        <v>7849</v>
      </c>
      <c r="F47">
        <v>359081</v>
      </c>
      <c r="G47" s="7">
        <v>4.6034181702735592E-2</v>
      </c>
      <c r="H47" t="s">
        <v>321</v>
      </c>
      <c r="I47">
        <v>21005</v>
      </c>
    </row>
    <row r="48" spans="1:9">
      <c r="A48" s="5">
        <v>45523</v>
      </c>
      <c r="B48" t="s">
        <v>28</v>
      </c>
      <c r="C48">
        <v>7525</v>
      </c>
      <c r="D48">
        <v>610</v>
      </c>
      <c r="E48">
        <v>5491</v>
      </c>
      <c r="F48">
        <v>365996</v>
      </c>
      <c r="G48" s="7">
        <v>5.7694619613329112E-2</v>
      </c>
      <c r="H48" t="s">
        <v>321</v>
      </c>
      <c r="I48">
        <v>53543</v>
      </c>
    </row>
    <row r="49" spans="1:9">
      <c r="A49" s="5">
        <v>45523</v>
      </c>
      <c r="B49" t="s">
        <v>17</v>
      </c>
      <c r="C49">
        <v>4850</v>
      </c>
      <c r="D49">
        <v>494</v>
      </c>
      <c r="E49">
        <v>1512</v>
      </c>
      <c r="F49">
        <v>370352</v>
      </c>
      <c r="G49" s="7">
        <v>0.2046539508359615</v>
      </c>
      <c r="H49" t="s">
        <v>321</v>
      </c>
      <c r="I49">
        <v>10161</v>
      </c>
    </row>
    <row r="50" spans="1:9">
      <c r="A50" s="5">
        <v>45530</v>
      </c>
      <c r="B50" t="s">
        <v>23</v>
      </c>
      <c r="C50">
        <v>1689</v>
      </c>
      <c r="D50">
        <v>176</v>
      </c>
      <c r="E50">
        <v>893</v>
      </c>
      <c r="F50">
        <v>371865</v>
      </c>
      <c r="G50" s="7">
        <v>0.38012181840183945</v>
      </c>
      <c r="H50" t="s">
        <v>321</v>
      </c>
      <c r="I50">
        <v>26029</v>
      </c>
    </row>
    <row r="51" spans="1:9">
      <c r="A51" s="5">
        <v>45530</v>
      </c>
      <c r="B51" t="s">
        <v>48</v>
      </c>
      <c r="C51">
        <v>6175</v>
      </c>
      <c r="D51">
        <v>422</v>
      </c>
      <c r="F51">
        <v>377618</v>
      </c>
      <c r="G51" s="7">
        <v>0.3786101298137271</v>
      </c>
      <c r="H51" t="s">
        <v>321</v>
      </c>
      <c r="I51">
        <v>59745</v>
      </c>
    </row>
    <row r="52" spans="1:9">
      <c r="A52" s="5">
        <v>45530</v>
      </c>
      <c r="B52" t="s">
        <v>28</v>
      </c>
      <c r="C52">
        <v>9648</v>
      </c>
      <c r="D52">
        <v>1417</v>
      </c>
      <c r="F52">
        <v>385849</v>
      </c>
      <c r="G52" s="7">
        <v>3.6633501706626166E-2</v>
      </c>
      <c r="H52" t="s">
        <v>321</v>
      </c>
      <c r="I52">
        <v>24226</v>
      </c>
    </row>
    <row r="53" spans="1:9">
      <c r="A53" s="5">
        <v>45530</v>
      </c>
      <c r="B53" t="s">
        <v>17</v>
      </c>
      <c r="C53">
        <v>6078</v>
      </c>
      <c r="D53">
        <v>775</v>
      </c>
      <c r="F53">
        <v>391152</v>
      </c>
      <c r="G53" s="7">
        <v>0.37760512537325641</v>
      </c>
      <c r="H53" t="s">
        <v>321</v>
      </c>
      <c r="I53">
        <v>38731</v>
      </c>
    </row>
    <row r="54" spans="1:9">
      <c r="A54" s="5">
        <v>45537</v>
      </c>
      <c r="B54" t="s">
        <v>28</v>
      </c>
      <c r="C54">
        <v>6448</v>
      </c>
      <c r="D54">
        <v>928</v>
      </c>
      <c r="F54">
        <v>396672</v>
      </c>
      <c r="G54" s="7">
        <v>0.3011858664085188</v>
      </c>
      <c r="H54" t="s">
        <v>321</v>
      </c>
      <c r="I54">
        <v>53922</v>
      </c>
    </row>
    <row r="55" spans="1:9">
      <c r="A55" s="5">
        <v>45537</v>
      </c>
      <c r="B55" t="s">
        <v>28</v>
      </c>
      <c r="C55">
        <v>2179</v>
      </c>
      <c r="D55">
        <v>303</v>
      </c>
      <c r="F55">
        <v>398548</v>
      </c>
      <c r="G55" s="7">
        <v>0.3390984272910666</v>
      </c>
      <c r="H55" t="s">
        <v>321</v>
      </c>
      <c r="I55">
        <v>54848</v>
      </c>
    </row>
    <row r="56" spans="1:9">
      <c r="A56" s="5">
        <v>45537</v>
      </c>
      <c r="B56" t="s">
        <v>48</v>
      </c>
      <c r="C56">
        <v>7406</v>
      </c>
      <c r="D56">
        <v>813</v>
      </c>
      <c r="F56">
        <v>405141</v>
      </c>
      <c r="G56" s="7">
        <v>0.2445741112353477</v>
      </c>
      <c r="H56" t="s">
        <v>321</v>
      </c>
      <c r="I56">
        <v>13390</v>
      </c>
    </row>
    <row r="57" spans="1:9">
      <c r="A57" s="5">
        <v>45537</v>
      </c>
      <c r="B57" t="s">
        <v>23</v>
      </c>
      <c r="C57">
        <v>9591</v>
      </c>
      <c r="D57">
        <v>1363</v>
      </c>
      <c r="F57">
        <v>413369</v>
      </c>
      <c r="G57" s="7">
        <v>0.1049425573760974</v>
      </c>
      <c r="H57" t="s">
        <v>321</v>
      </c>
      <c r="I57">
        <v>15997</v>
      </c>
    </row>
    <row r="58" spans="1:9">
      <c r="A58" s="5">
        <v>45544</v>
      </c>
      <c r="B58" t="s">
        <v>28</v>
      </c>
      <c r="C58">
        <v>7907</v>
      </c>
      <c r="D58">
        <v>465</v>
      </c>
      <c r="F58">
        <v>420811</v>
      </c>
      <c r="G58" s="7">
        <v>0.3325744811803874</v>
      </c>
      <c r="H58" t="s">
        <v>321</v>
      </c>
      <c r="I58">
        <v>22693</v>
      </c>
    </row>
    <row r="59" spans="1:9">
      <c r="A59" s="5">
        <v>45544</v>
      </c>
      <c r="B59" t="s">
        <v>17</v>
      </c>
      <c r="C59">
        <v>9800</v>
      </c>
      <c r="D59">
        <v>682</v>
      </c>
      <c r="F59">
        <v>429929</v>
      </c>
      <c r="G59" s="7">
        <v>6.2966210699906267E-2</v>
      </c>
      <c r="H59" t="s">
        <v>321</v>
      </c>
      <c r="I59">
        <v>59815</v>
      </c>
    </row>
    <row r="60" spans="1:9">
      <c r="A60" s="5">
        <v>45544</v>
      </c>
      <c r="B60" t="s">
        <v>17</v>
      </c>
      <c r="C60">
        <v>2638</v>
      </c>
      <c r="D60">
        <v>143</v>
      </c>
      <c r="F60">
        <v>432424</v>
      </c>
      <c r="G60" s="7">
        <v>6.9547481175882928E-2</v>
      </c>
      <c r="H60" t="s">
        <v>321</v>
      </c>
      <c r="I60">
        <v>52092</v>
      </c>
    </row>
    <row r="61" spans="1:9">
      <c r="A61" s="5">
        <v>45544</v>
      </c>
      <c r="B61" t="s">
        <v>23</v>
      </c>
      <c r="C61">
        <v>6671</v>
      </c>
      <c r="D61">
        <v>550</v>
      </c>
      <c r="F61">
        <v>438545</v>
      </c>
      <c r="G61" s="7">
        <v>0.17750287883797561</v>
      </c>
      <c r="H61" t="s">
        <v>321</v>
      </c>
      <c r="I61">
        <v>10541</v>
      </c>
    </row>
    <row r="62" spans="1:9">
      <c r="A62" s="5">
        <v>45551</v>
      </c>
      <c r="B62" t="s">
        <v>17</v>
      </c>
      <c r="C62">
        <v>7928</v>
      </c>
      <c r="D62">
        <v>704</v>
      </c>
      <c r="F62">
        <v>445769</v>
      </c>
      <c r="G62" s="7">
        <v>0.11194362999670228</v>
      </c>
      <c r="H62" t="s">
        <v>321</v>
      </c>
      <c r="I62">
        <v>31817</v>
      </c>
    </row>
    <row r="63" spans="1:9">
      <c r="A63" s="5">
        <v>45551</v>
      </c>
      <c r="B63" t="s">
        <v>23</v>
      </c>
      <c r="C63">
        <v>2382</v>
      </c>
      <c r="D63">
        <v>183</v>
      </c>
      <c r="F63">
        <v>447968</v>
      </c>
      <c r="G63" s="7">
        <v>4.7335970426459033E-2</v>
      </c>
      <c r="H63" t="s">
        <v>321</v>
      </c>
      <c r="I63">
        <v>47861</v>
      </c>
    </row>
    <row r="64" spans="1:9">
      <c r="A64" s="5">
        <v>45551</v>
      </c>
      <c r="B64" t="s">
        <v>17</v>
      </c>
      <c r="C64">
        <v>2403</v>
      </c>
      <c r="D64">
        <v>319</v>
      </c>
      <c r="F64">
        <v>450052</v>
      </c>
      <c r="G64" s="7">
        <v>0.29921209104725682</v>
      </c>
      <c r="H64" t="s">
        <v>321</v>
      </c>
      <c r="I64">
        <v>23428</v>
      </c>
    </row>
    <row r="65" spans="1:9">
      <c r="A65" s="5">
        <v>45551</v>
      </c>
      <c r="B65" t="s">
        <v>48</v>
      </c>
      <c r="C65">
        <v>4292</v>
      </c>
      <c r="D65">
        <v>367</v>
      </c>
      <c r="F65">
        <v>453977</v>
      </c>
      <c r="G65" s="7">
        <v>3.503701729382766E-2</v>
      </c>
      <c r="H65" t="s">
        <v>321</v>
      </c>
      <c r="I65">
        <v>53934</v>
      </c>
    </row>
    <row r="66" spans="1:9">
      <c r="A66" s="5">
        <v>45558</v>
      </c>
      <c r="B66" t="s">
        <v>28</v>
      </c>
      <c r="C66">
        <v>1419</v>
      </c>
      <c r="D66">
        <v>110</v>
      </c>
      <c r="F66">
        <v>455286</v>
      </c>
      <c r="G66" s="7">
        <v>0.31554451487636337</v>
      </c>
      <c r="H66" t="s">
        <v>321</v>
      </c>
      <c r="I66">
        <v>58831</v>
      </c>
    </row>
    <row r="67" spans="1:9">
      <c r="A67" s="5">
        <v>45558</v>
      </c>
      <c r="B67" t="s">
        <v>48</v>
      </c>
      <c r="C67">
        <v>5517</v>
      </c>
      <c r="D67">
        <v>575</v>
      </c>
      <c r="F67">
        <v>460228</v>
      </c>
      <c r="G67" s="7">
        <v>0.29458442337276308</v>
      </c>
      <c r="H67" t="s">
        <v>321</v>
      </c>
      <c r="I67">
        <v>20258</v>
      </c>
    </row>
    <row r="68" spans="1:9">
      <c r="A68" s="5">
        <v>45558</v>
      </c>
      <c r="B68" t="s">
        <v>28</v>
      </c>
      <c r="C68">
        <v>4302</v>
      </c>
      <c r="D68">
        <v>275</v>
      </c>
      <c r="F68">
        <v>464255</v>
      </c>
      <c r="G68" s="7">
        <v>0.1572131694865968</v>
      </c>
      <c r="H68" t="s">
        <v>321</v>
      </c>
      <c r="I68">
        <v>26044</v>
      </c>
    </row>
    <row r="69" spans="1:9">
      <c r="A69" s="5">
        <v>45558</v>
      </c>
      <c r="B69" t="s">
        <v>28</v>
      </c>
      <c r="C69">
        <v>8857</v>
      </c>
      <c r="D69">
        <v>1153</v>
      </c>
      <c r="F69">
        <v>471959</v>
      </c>
      <c r="G69" s="7">
        <v>0.1921459279301804</v>
      </c>
      <c r="H69" t="s">
        <v>321</v>
      </c>
      <c r="I69">
        <v>39411</v>
      </c>
    </row>
    <row r="70" spans="1:9">
      <c r="A70" s="5">
        <v>45565</v>
      </c>
      <c r="B70" t="s">
        <v>28</v>
      </c>
      <c r="C70">
        <v>8870</v>
      </c>
      <c r="D70">
        <v>509</v>
      </c>
      <c r="F70">
        <v>480320</v>
      </c>
      <c r="G70" s="7">
        <v>0.25077864756828783</v>
      </c>
      <c r="H70" t="s">
        <v>321</v>
      </c>
      <c r="I70">
        <v>15469</v>
      </c>
    </row>
    <row r="71" spans="1:9">
      <c r="A71" s="5">
        <v>45565</v>
      </c>
      <c r="B71" t="s">
        <v>48</v>
      </c>
      <c r="C71">
        <v>6693</v>
      </c>
      <c r="D71">
        <v>995</v>
      </c>
      <c r="F71">
        <v>486018</v>
      </c>
      <c r="G71" s="7">
        <v>0.2376187713212268</v>
      </c>
      <c r="H71" t="s">
        <v>321</v>
      </c>
      <c r="I71">
        <v>38854</v>
      </c>
    </row>
    <row r="72" spans="1:9">
      <c r="A72" s="5">
        <v>45565</v>
      </c>
      <c r="B72" t="s">
        <v>28</v>
      </c>
      <c r="C72">
        <v>1767</v>
      </c>
      <c r="D72">
        <v>224</v>
      </c>
      <c r="F72">
        <v>487561</v>
      </c>
      <c r="G72" s="7">
        <v>0.13208603641390507</v>
      </c>
      <c r="H72" t="s">
        <v>321</v>
      </c>
      <c r="I72">
        <v>16256</v>
      </c>
    </row>
    <row r="73" spans="1:9">
      <c r="A73" s="5">
        <v>45565</v>
      </c>
      <c r="B73" t="s">
        <v>48</v>
      </c>
      <c r="C73">
        <v>3044</v>
      </c>
      <c r="D73">
        <v>212</v>
      </c>
      <c r="F73">
        <v>490393</v>
      </c>
      <c r="G73" s="7">
        <v>8.5343795690395269E-2</v>
      </c>
      <c r="H73" t="s">
        <v>321</v>
      </c>
      <c r="I73">
        <v>20720</v>
      </c>
    </row>
    <row r="74" spans="1:9">
      <c r="A74" s="5">
        <v>45572</v>
      </c>
      <c r="B74" t="s">
        <v>23</v>
      </c>
      <c r="C74">
        <v>2549</v>
      </c>
      <c r="D74">
        <v>128</v>
      </c>
      <c r="F74">
        <v>492814</v>
      </c>
      <c r="G74" s="7">
        <v>0.1273421615457353</v>
      </c>
      <c r="H74" t="s">
        <v>53</v>
      </c>
      <c r="I74">
        <v>43937</v>
      </c>
    </row>
    <row r="75" spans="1:9">
      <c r="A75" s="5">
        <v>45572</v>
      </c>
      <c r="B75" t="s">
        <v>17</v>
      </c>
      <c r="C75">
        <v>7140</v>
      </c>
      <c r="D75">
        <v>939</v>
      </c>
      <c r="F75">
        <v>499015</v>
      </c>
      <c r="G75" s="7">
        <v>0.25120888149654819</v>
      </c>
      <c r="H75" t="s">
        <v>53</v>
      </c>
      <c r="I75">
        <v>43598</v>
      </c>
    </row>
    <row r="76" spans="1:9">
      <c r="A76" s="5">
        <v>45572</v>
      </c>
      <c r="B76" t="s">
        <v>17</v>
      </c>
      <c r="C76">
        <v>4716</v>
      </c>
      <c r="D76">
        <v>569</v>
      </c>
      <c r="F76">
        <v>503162</v>
      </c>
      <c r="G76" s="7">
        <v>0.25648200778278168</v>
      </c>
      <c r="H76" t="s">
        <v>53</v>
      </c>
      <c r="I76">
        <v>11651</v>
      </c>
    </row>
    <row r="77" spans="1:9">
      <c r="A77" s="5">
        <v>45572</v>
      </c>
      <c r="B77" t="s">
        <v>28</v>
      </c>
      <c r="C77">
        <v>5481</v>
      </c>
      <c r="D77">
        <v>673</v>
      </c>
      <c r="F77">
        <v>507970</v>
      </c>
      <c r="G77" s="7">
        <v>0.13087583912435771</v>
      </c>
      <c r="H77" t="s">
        <v>53</v>
      </c>
      <c r="I77">
        <v>29194</v>
      </c>
    </row>
    <row r="78" spans="1:9">
      <c r="A78" s="5">
        <v>45579</v>
      </c>
      <c r="B78" t="s">
        <v>48</v>
      </c>
      <c r="C78">
        <v>8898</v>
      </c>
      <c r="D78">
        <v>1131</v>
      </c>
      <c r="F78">
        <v>515737</v>
      </c>
      <c r="G78" s="7">
        <v>2.1877429775253671E-2</v>
      </c>
      <c r="H78" t="s">
        <v>53</v>
      </c>
      <c r="I78">
        <v>35051</v>
      </c>
    </row>
    <row r="79" spans="1:9">
      <c r="A79" s="5">
        <v>45579</v>
      </c>
      <c r="B79" t="s">
        <v>17</v>
      </c>
      <c r="C79">
        <v>7548</v>
      </c>
      <c r="D79">
        <v>433</v>
      </c>
      <c r="F79">
        <v>522852</v>
      </c>
      <c r="G79" s="7">
        <v>8.3562843787534521E-2</v>
      </c>
      <c r="H79" t="s">
        <v>53</v>
      </c>
      <c r="I79">
        <v>37386</v>
      </c>
    </row>
    <row r="80" spans="1:9">
      <c r="A80" s="5">
        <v>45579</v>
      </c>
      <c r="B80" t="s">
        <v>48</v>
      </c>
      <c r="C80">
        <v>3293</v>
      </c>
      <c r="D80">
        <v>282</v>
      </c>
      <c r="F80">
        <v>525863</v>
      </c>
      <c r="G80" s="7">
        <v>0.2704069310828105</v>
      </c>
      <c r="H80" t="s">
        <v>53</v>
      </c>
      <c r="I80">
        <v>19518</v>
      </c>
    </row>
    <row r="81" spans="1:9">
      <c r="A81" s="5">
        <v>45579</v>
      </c>
      <c r="B81" t="s">
        <v>48</v>
      </c>
      <c r="C81">
        <v>5837</v>
      </c>
      <c r="D81">
        <v>359</v>
      </c>
      <c r="F81">
        <v>531341</v>
      </c>
      <c r="G81" s="7">
        <v>6.8073045370110719E-2</v>
      </c>
      <c r="H81" t="s">
        <v>53</v>
      </c>
      <c r="I81">
        <v>56026</v>
      </c>
    </row>
    <row r="82" spans="1:9">
      <c r="A82" s="5">
        <v>45586</v>
      </c>
      <c r="B82" t="s">
        <v>28</v>
      </c>
      <c r="C82">
        <v>8758</v>
      </c>
      <c r="D82">
        <v>1193</v>
      </c>
      <c r="F82">
        <v>538906</v>
      </c>
      <c r="G82" s="7">
        <v>3.4213758985797149E-2</v>
      </c>
      <c r="H82" t="s">
        <v>53</v>
      </c>
      <c r="I82">
        <v>26184</v>
      </c>
    </row>
    <row r="83" spans="1:9">
      <c r="A83" s="5">
        <v>45586</v>
      </c>
      <c r="B83" t="s">
        <v>17</v>
      </c>
      <c r="C83">
        <v>7793</v>
      </c>
      <c r="D83">
        <v>875</v>
      </c>
      <c r="F83">
        <v>545824</v>
      </c>
      <c r="G83" s="7">
        <v>5.5136820660139529E-2</v>
      </c>
      <c r="H83" t="s">
        <v>53</v>
      </c>
      <c r="I83">
        <v>43787</v>
      </c>
    </row>
    <row r="84" spans="1:9">
      <c r="A84" s="5">
        <v>45586</v>
      </c>
      <c r="B84" t="s">
        <v>28</v>
      </c>
      <c r="C84">
        <v>8638</v>
      </c>
      <c r="D84">
        <v>717</v>
      </c>
      <c r="F84">
        <v>553745</v>
      </c>
      <c r="G84" s="7">
        <v>0.26921416897669498</v>
      </c>
      <c r="H84" t="s">
        <v>53</v>
      </c>
      <c r="I84">
        <v>31621</v>
      </c>
    </row>
    <row r="85" spans="1:9">
      <c r="A85" s="5">
        <v>45586</v>
      </c>
      <c r="B85" t="s">
        <v>28</v>
      </c>
      <c r="C85">
        <v>8993</v>
      </c>
      <c r="D85">
        <v>506</v>
      </c>
      <c r="F85">
        <v>562232</v>
      </c>
      <c r="G85" s="7">
        <v>3.5131404829323136E-2</v>
      </c>
      <c r="H85" t="s">
        <v>53</v>
      </c>
      <c r="I85">
        <v>20028</v>
      </c>
    </row>
    <row r="86" spans="1:9">
      <c r="A86" s="5">
        <v>45593</v>
      </c>
      <c r="B86" t="s">
        <v>17</v>
      </c>
      <c r="C86">
        <v>7007</v>
      </c>
      <c r="D86">
        <v>568</v>
      </c>
      <c r="F86">
        <v>568671</v>
      </c>
      <c r="G86" s="7">
        <v>0.1150507059442103</v>
      </c>
      <c r="H86" t="s">
        <v>53</v>
      </c>
      <c r="I86">
        <v>22448</v>
      </c>
    </row>
    <row r="87" spans="1:9">
      <c r="A87" s="5">
        <v>45593</v>
      </c>
      <c r="B87" t="s">
        <v>17</v>
      </c>
      <c r="C87">
        <v>6542</v>
      </c>
      <c r="D87">
        <v>539</v>
      </c>
      <c r="F87">
        <v>574674</v>
      </c>
      <c r="G87" s="7">
        <v>6.4069368024305948E-2</v>
      </c>
      <c r="H87" t="s">
        <v>53</v>
      </c>
      <c r="I87">
        <v>55253</v>
      </c>
    </row>
    <row r="88" spans="1:9">
      <c r="A88" s="5">
        <v>45593</v>
      </c>
      <c r="B88" t="s">
        <v>23</v>
      </c>
      <c r="C88">
        <v>7356</v>
      </c>
      <c r="D88">
        <v>904</v>
      </c>
      <c r="F88">
        <v>581126</v>
      </c>
      <c r="G88" s="7">
        <v>0.1756090761728093</v>
      </c>
      <c r="H88" t="s">
        <v>53</v>
      </c>
      <c r="I88">
        <v>44051</v>
      </c>
    </row>
    <row r="89" spans="1:9">
      <c r="A89" s="5">
        <v>45593</v>
      </c>
      <c r="B89" t="s">
        <v>23</v>
      </c>
      <c r="C89">
        <v>9433</v>
      </c>
      <c r="D89">
        <v>1073</v>
      </c>
      <c r="F89">
        <v>589486</v>
      </c>
      <c r="G89" s="7">
        <v>7.2934726185185053E-2</v>
      </c>
      <c r="H89" t="s">
        <v>53</v>
      </c>
      <c r="I89">
        <v>59811</v>
      </c>
    </row>
    <row r="90" spans="1:9">
      <c r="A90" s="5">
        <v>45600</v>
      </c>
      <c r="B90" t="s">
        <v>48</v>
      </c>
      <c r="C90">
        <v>8380</v>
      </c>
      <c r="D90">
        <v>1162</v>
      </c>
      <c r="F90">
        <v>596704</v>
      </c>
      <c r="G90" s="7">
        <v>0.18058534884968089</v>
      </c>
      <c r="H90" t="s">
        <v>321</v>
      </c>
      <c r="I90">
        <v>40447</v>
      </c>
    </row>
    <row r="91" spans="1:9">
      <c r="A91" s="5">
        <v>45600</v>
      </c>
      <c r="B91" t="s">
        <v>17</v>
      </c>
      <c r="C91">
        <v>3385</v>
      </c>
      <c r="D91">
        <v>329</v>
      </c>
      <c r="F91">
        <v>599760</v>
      </c>
      <c r="G91" s="7">
        <v>0.17617880485527551</v>
      </c>
      <c r="H91" t="s">
        <v>321</v>
      </c>
      <c r="I91">
        <v>28394</v>
      </c>
    </row>
    <row r="92" spans="1:9">
      <c r="A92" s="5">
        <v>45600</v>
      </c>
      <c r="B92" t="s">
        <v>23</v>
      </c>
      <c r="C92">
        <v>5268</v>
      </c>
      <c r="D92">
        <v>326</v>
      </c>
      <c r="F92">
        <v>604702</v>
      </c>
      <c r="G92" s="7">
        <v>0.2343584112505003</v>
      </c>
      <c r="H92" t="s">
        <v>321</v>
      </c>
      <c r="I92">
        <v>44501</v>
      </c>
    </row>
    <row r="93" spans="1:9">
      <c r="A93" s="5">
        <v>45600</v>
      </c>
      <c r="B93" t="s">
        <v>48</v>
      </c>
      <c r="C93">
        <v>1671</v>
      </c>
      <c r="D93">
        <v>202</v>
      </c>
      <c r="F93">
        <v>606171</v>
      </c>
      <c r="G93" s="7">
        <v>0.15150015424690388</v>
      </c>
      <c r="H93" t="s">
        <v>321</v>
      </c>
      <c r="I93">
        <v>40254</v>
      </c>
    </row>
    <row r="94" spans="1:9">
      <c r="A94" s="5">
        <v>45607</v>
      </c>
      <c r="B94" t="s">
        <v>48</v>
      </c>
      <c r="C94">
        <v>1163</v>
      </c>
      <c r="D94">
        <v>146</v>
      </c>
      <c r="F94">
        <v>607188</v>
      </c>
      <c r="G94" s="7">
        <v>0.2177776899411715</v>
      </c>
      <c r="H94" t="s">
        <v>321</v>
      </c>
      <c r="I94">
        <v>28509</v>
      </c>
    </row>
    <row r="95" spans="1:9">
      <c r="A95" s="5">
        <v>45607</v>
      </c>
      <c r="B95" t="s">
        <v>48</v>
      </c>
      <c r="C95">
        <v>9656</v>
      </c>
      <c r="D95">
        <v>1024</v>
      </c>
      <c r="F95">
        <v>615820</v>
      </c>
      <c r="G95" s="7">
        <v>8.7252768666168684E-2</v>
      </c>
      <c r="H95" t="s">
        <v>321</v>
      </c>
      <c r="I95">
        <v>58998</v>
      </c>
    </row>
    <row r="96" spans="1:9">
      <c r="A96" s="5">
        <v>45607</v>
      </c>
      <c r="B96" t="s">
        <v>23</v>
      </c>
      <c r="C96">
        <v>5592</v>
      </c>
      <c r="D96">
        <v>710</v>
      </c>
      <c r="F96">
        <v>620702</v>
      </c>
      <c r="G96" s="7">
        <v>9.0711806954061697E-2</v>
      </c>
      <c r="H96" t="s">
        <v>321</v>
      </c>
      <c r="I96">
        <v>24472</v>
      </c>
    </row>
    <row r="97" spans="1:9">
      <c r="A97" s="5">
        <v>45607</v>
      </c>
      <c r="B97" t="s">
        <v>17</v>
      </c>
      <c r="C97">
        <v>5795</v>
      </c>
      <c r="D97">
        <v>575</v>
      </c>
      <c r="F97">
        <v>625922</v>
      </c>
      <c r="G97" s="7">
        <v>3.0908004511744271E-2</v>
      </c>
      <c r="H97" t="s">
        <v>321</v>
      </c>
      <c r="I97">
        <v>55657</v>
      </c>
    </row>
    <row r="98" spans="1:9">
      <c r="A98" s="5">
        <v>45614</v>
      </c>
      <c r="B98" t="s">
        <v>28</v>
      </c>
      <c r="C98">
        <v>5798</v>
      </c>
      <c r="D98">
        <v>592</v>
      </c>
      <c r="F98">
        <v>631128</v>
      </c>
      <c r="G98" s="7">
        <v>1.6774727155188813E-2</v>
      </c>
      <c r="H98" t="s">
        <v>321</v>
      </c>
      <c r="I98">
        <v>13471</v>
      </c>
    </row>
    <row r="99" spans="1:9">
      <c r="A99" s="5">
        <v>45614</v>
      </c>
      <c r="B99" t="s">
        <v>48</v>
      </c>
      <c r="C99">
        <v>7036</v>
      </c>
      <c r="D99">
        <v>652</v>
      </c>
      <c r="F99">
        <v>637512</v>
      </c>
      <c r="G99" s="7">
        <v>3.5705994553828009E-2</v>
      </c>
      <c r="H99" t="s">
        <v>321</v>
      </c>
      <c r="I99">
        <v>51796</v>
      </c>
    </row>
    <row r="100" spans="1:9">
      <c r="A100" s="5">
        <v>45614</v>
      </c>
      <c r="B100" t="s">
        <v>23</v>
      </c>
      <c r="C100">
        <v>3355</v>
      </c>
      <c r="D100">
        <v>176</v>
      </c>
      <c r="F100">
        <v>640691</v>
      </c>
      <c r="G100" s="7">
        <v>0.12426427091999112</v>
      </c>
      <c r="H100" t="s">
        <v>321</v>
      </c>
      <c r="I100">
        <v>40268</v>
      </c>
    </row>
    <row r="101" spans="1:9">
      <c r="A101" s="5">
        <v>45614</v>
      </c>
      <c r="B101" t="s">
        <v>23</v>
      </c>
      <c r="C101">
        <v>6887</v>
      </c>
      <c r="D101">
        <v>418</v>
      </c>
      <c r="F101">
        <v>647160</v>
      </c>
      <c r="G101" s="7">
        <v>0.20240280610668152</v>
      </c>
      <c r="H101" t="s">
        <v>321</v>
      </c>
      <c r="I101">
        <v>18329</v>
      </c>
    </row>
    <row r="102" spans="1:9">
      <c r="A102" s="5">
        <v>45621</v>
      </c>
      <c r="B102" t="s">
        <v>28</v>
      </c>
      <c r="C102">
        <v>8961</v>
      </c>
      <c r="D102">
        <v>476</v>
      </c>
      <c r="F102">
        <v>655645</v>
      </c>
      <c r="G102" s="7">
        <v>0.15458517947974901</v>
      </c>
      <c r="H102" t="s">
        <v>321</v>
      </c>
      <c r="I102">
        <v>44865</v>
      </c>
    </row>
    <row r="103" spans="1:9">
      <c r="A103" s="5">
        <v>45621</v>
      </c>
      <c r="B103" t="s">
        <v>28</v>
      </c>
      <c r="C103">
        <v>6827</v>
      </c>
      <c r="D103">
        <v>775</v>
      </c>
      <c r="F103">
        <v>661697</v>
      </c>
      <c r="G103" s="7">
        <v>0.15966220188394387</v>
      </c>
      <c r="H103" t="s">
        <v>321</v>
      </c>
      <c r="I103">
        <v>56850</v>
      </c>
    </row>
    <row r="104" spans="1:9">
      <c r="A104" s="5">
        <v>45621</v>
      </c>
      <c r="B104" t="s">
        <v>23</v>
      </c>
      <c r="C104">
        <v>9737</v>
      </c>
      <c r="D104">
        <v>792</v>
      </c>
      <c r="F104">
        <v>670642</v>
      </c>
      <c r="G104" s="7">
        <v>5.301785453341723E-2</v>
      </c>
      <c r="H104" t="s">
        <v>321</v>
      </c>
      <c r="I104">
        <v>56698</v>
      </c>
    </row>
    <row r="105" spans="1:9">
      <c r="A105" s="5">
        <v>45621</v>
      </c>
      <c r="B105" t="s">
        <v>17</v>
      </c>
      <c r="C105">
        <v>5719</v>
      </c>
      <c r="D105">
        <v>576</v>
      </c>
      <c r="F105">
        <v>675785</v>
      </c>
      <c r="G105" s="7">
        <v>0.1021656296011305</v>
      </c>
      <c r="H105" t="s">
        <v>321</v>
      </c>
      <c r="I105">
        <v>38272</v>
      </c>
    </row>
    <row r="106" spans="1:9">
      <c r="A106" s="5">
        <v>45628</v>
      </c>
      <c r="B106" t="s">
        <v>28</v>
      </c>
      <c r="C106">
        <v>1593</v>
      </c>
      <c r="D106">
        <v>224</v>
      </c>
      <c r="F106">
        <v>677154</v>
      </c>
      <c r="G106" s="7">
        <v>4.1495730660972251E-2</v>
      </c>
      <c r="H106" t="s">
        <v>321</v>
      </c>
      <c r="I106">
        <v>52845</v>
      </c>
    </row>
    <row r="107" spans="1:9">
      <c r="A107" s="5">
        <v>45628</v>
      </c>
      <c r="B107" t="s">
        <v>23</v>
      </c>
      <c r="C107">
        <v>5839</v>
      </c>
      <c r="D107">
        <v>437</v>
      </c>
      <c r="F107">
        <v>682556</v>
      </c>
      <c r="G107" s="7">
        <v>0.1744750613869045</v>
      </c>
      <c r="H107" t="s">
        <v>321</v>
      </c>
      <c r="I107">
        <v>16397</v>
      </c>
    </row>
    <row r="108" spans="1:9">
      <c r="A108" s="5">
        <v>45628</v>
      </c>
      <c r="B108" t="s">
        <v>28</v>
      </c>
      <c r="C108">
        <v>8394</v>
      </c>
      <c r="D108">
        <v>764</v>
      </c>
      <c r="F108">
        <v>690186</v>
      </c>
      <c r="G108" s="7">
        <v>6.355678034616756E-2</v>
      </c>
      <c r="H108" t="s">
        <v>321</v>
      </c>
      <c r="I108">
        <v>42373</v>
      </c>
    </row>
    <row r="109" spans="1:9">
      <c r="A109" s="5">
        <v>45628</v>
      </c>
      <c r="B109" t="s">
        <v>17</v>
      </c>
      <c r="C109">
        <v>4493</v>
      </c>
      <c r="D109">
        <v>564</v>
      </c>
      <c r="F109">
        <v>694115</v>
      </c>
      <c r="G109" s="7">
        <v>0.1662548713109499</v>
      </c>
      <c r="H109" t="s">
        <v>321</v>
      </c>
      <c r="I109">
        <v>45525</v>
      </c>
    </row>
    <row r="110" spans="1:9">
      <c r="A110" s="5">
        <v>45635</v>
      </c>
      <c r="B110" t="s">
        <v>48</v>
      </c>
      <c r="C110">
        <v>7164</v>
      </c>
      <c r="D110">
        <v>522</v>
      </c>
      <c r="F110">
        <v>700757</v>
      </c>
      <c r="G110" s="7">
        <v>0.13449169969047761</v>
      </c>
      <c r="H110" t="s">
        <v>321</v>
      </c>
      <c r="I110">
        <v>34570</v>
      </c>
    </row>
    <row r="111" spans="1:9">
      <c r="A111" s="5">
        <v>45635</v>
      </c>
      <c r="B111" t="s">
        <v>28</v>
      </c>
      <c r="C111">
        <v>3672</v>
      </c>
      <c r="D111">
        <v>211</v>
      </c>
      <c r="F111">
        <v>704218</v>
      </c>
      <c r="G111" s="7">
        <v>0.12350578940044132</v>
      </c>
      <c r="H111" t="s">
        <v>321</v>
      </c>
      <c r="I111">
        <v>28284</v>
      </c>
    </row>
    <row r="112" spans="1:9">
      <c r="A112" s="5">
        <v>45635</v>
      </c>
      <c r="B112" t="s">
        <v>17</v>
      </c>
      <c r="C112">
        <v>5200</v>
      </c>
      <c r="D112">
        <v>410</v>
      </c>
      <c r="F112">
        <v>709008</v>
      </c>
      <c r="G112" s="7">
        <v>0.12913394489201821</v>
      </c>
      <c r="H112" t="s">
        <v>321</v>
      </c>
      <c r="I112">
        <v>28994</v>
      </c>
    </row>
    <row r="113" spans="1:9">
      <c r="A113" s="5">
        <v>45635</v>
      </c>
      <c r="B113" t="s">
        <v>23</v>
      </c>
      <c r="C113">
        <v>1016</v>
      </c>
      <c r="D113">
        <v>67</v>
      </c>
      <c r="F113">
        <v>709957</v>
      </c>
      <c r="G113" s="7">
        <v>0.20774215903216672</v>
      </c>
      <c r="H113" t="s">
        <v>321</v>
      </c>
      <c r="I113">
        <v>33284</v>
      </c>
    </row>
    <row r="114" spans="1:9">
      <c r="A114" s="5">
        <v>45642</v>
      </c>
      <c r="B114" t="s">
        <v>28</v>
      </c>
      <c r="C114">
        <v>4191</v>
      </c>
      <c r="D114">
        <v>599</v>
      </c>
      <c r="F114">
        <v>713549</v>
      </c>
      <c r="G114" s="7">
        <v>0.11564167282134788</v>
      </c>
      <c r="H114" t="s">
        <v>321</v>
      </c>
      <c r="I114">
        <v>27833</v>
      </c>
    </row>
    <row r="115" spans="1:9">
      <c r="A115" s="5">
        <v>45642</v>
      </c>
      <c r="B115" t="s">
        <v>28</v>
      </c>
      <c r="C115">
        <v>1392</v>
      </c>
      <c r="D115">
        <v>182</v>
      </c>
      <c r="F115">
        <v>714759</v>
      </c>
      <c r="G115" s="7">
        <v>5.9603306848881939E-2</v>
      </c>
      <c r="H115" t="s">
        <v>321</v>
      </c>
      <c r="I115">
        <v>35122</v>
      </c>
    </row>
    <row r="116" spans="1:9">
      <c r="A116" s="5">
        <v>45642</v>
      </c>
      <c r="B116" t="s">
        <v>23</v>
      </c>
      <c r="C116">
        <v>9616</v>
      </c>
      <c r="D116">
        <v>1089</v>
      </c>
      <c r="F116">
        <v>723286</v>
      </c>
      <c r="G116" s="7">
        <v>0.19258633514266829</v>
      </c>
      <c r="H116" t="s">
        <v>321</v>
      </c>
      <c r="I116">
        <v>15017</v>
      </c>
    </row>
    <row r="117" spans="1:9">
      <c r="A117" s="5">
        <v>45642</v>
      </c>
      <c r="B117" t="s">
        <v>48</v>
      </c>
      <c r="C117">
        <v>7272</v>
      </c>
      <c r="D117">
        <v>997</v>
      </c>
      <c r="F117">
        <v>729561</v>
      </c>
      <c r="G117" s="7">
        <v>0.13428486445958598</v>
      </c>
      <c r="H117" t="s">
        <v>321</v>
      </c>
      <c r="I117">
        <v>26370</v>
      </c>
    </row>
    <row r="118" spans="1:9">
      <c r="A118" s="5">
        <v>45649</v>
      </c>
      <c r="B118" t="s">
        <v>23</v>
      </c>
      <c r="C118">
        <v>1571</v>
      </c>
      <c r="D118">
        <v>204</v>
      </c>
      <c r="F118">
        <v>730928</v>
      </c>
      <c r="G118" s="7">
        <v>0.1944938489153514</v>
      </c>
      <c r="H118" t="s">
        <v>321</v>
      </c>
      <c r="I118">
        <v>39252</v>
      </c>
    </row>
    <row r="119" spans="1:9">
      <c r="A119" s="5">
        <v>45649</v>
      </c>
      <c r="B119" t="s">
        <v>28</v>
      </c>
      <c r="C119">
        <v>4631</v>
      </c>
      <c r="D119">
        <v>317</v>
      </c>
      <c r="F119">
        <v>735242</v>
      </c>
      <c r="G119" s="7">
        <v>1.381177897889402E-2</v>
      </c>
      <c r="H119" t="s">
        <v>321</v>
      </c>
      <c r="I119">
        <v>17999</v>
      </c>
    </row>
    <row r="120" spans="1:9">
      <c r="A120" s="5">
        <v>45649</v>
      </c>
      <c r="B120" t="s">
        <v>23</v>
      </c>
      <c r="C120">
        <v>7172</v>
      </c>
      <c r="D120">
        <v>998</v>
      </c>
      <c r="F120">
        <v>741416</v>
      </c>
      <c r="G120" s="7">
        <v>0.18066780323057505</v>
      </c>
      <c r="H120" t="s">
        <v>321</v>
      </c>
      <c r="I120">
        <v>32436</v>
      </c>
    </row>
    <row r="121" spans="1:9">
      <c r="A121" s="5">
        <v>45649</v>
      </c>
      <c r="B121" t="s">
        <v>17</v>
      </c>
      <c r="C121">
        <v>8177</v>
      </c>
      <c r="D121">
        <v>849</v>
      </c>
      <c r="F121">
        <v>748744</v>
      </c>
      <c r="G121" s="7">
        <v>0.10349865908775233</v>
      </c>
      <c r="H121" t="s">
        <v>321</v>
      </c>
      <c r="I121">
        <v>52963</v>
      </c>
    </row>
    <row r="122" spans="1:9">
      <c r="A122" s="5">
        <v>45656</v>
      </c>
      <c r="B122" t="s">
        <v>23</v>
      </c>
      <c r="C122">
        <v>9433</v>
      </c>
      <c r="D122">
        <v>1233</v>
      </c>
      <c r="F122">
        <v>756944</v>
      </c>
      <c r="G122" s="7">
        <v>0.1139172778963833</v>
      </c>
      <c r="H122" t="s">
        <v>21</v>
      </c>
      <c r="I122">
        <v>12096</v>
      </c>
    </row>
    <row r="123" spans="1:9">
      <c r="A123" s="5">
        <v>45656</v>
      </c>
      <c r="B123" t="s">
        <v>28</v>
      </c>
      <c r="C123">
        <v>4897</v>
      </c>
      <c r="D123">
        <v>683</v>
      </c>
      <c r="F123">
        <v>761158</v>
      </c>
      <c r="G123" s="7">
        <v>0.15062312949479612</v>
      </c>
      <c r="H123" t="s">
        <v>21</v>
      </c>
      <c r="I123">
        <v>58201</v>
      </c>
    </row>
    <row r="124" spans="1:9">
      <c r="A124" s="5">
        <v>45656</v>
      </c>
      <c r="B124" t="s">
        <v>23</v>
      </c>
      <c r="C124">
        <v>9123</v>
      </c>
      <c r="D124">
        <v>746</v>
      </c>
      <c r="F124">
        <v>769535</v>
      </c>
      <c r="G124" s="7">
        <v>6.3086149427901264E-2</v>
      </c>
      <c r="H124" t="s">
        <v>21</v>
      </c>
      <c r="I124">
        <v>35279</v>
      </c>
    </row>
    <row r="125" spans="1:9">
      <c r="A125" s="5">
        <v>45656</v>
      </c>
      <c r="B125" t="s">
        <v>48</v>
      </c>
      <c r="C125">
        <v>3279</v>
      </c>
      <c r="D125">
        <v>200</v>
      </c>
      <c r="F125">
        <v>772614</v>
      </c>
      <c r="G125" s="7">
        <v>5.0212654702089278E-2</v>
      </c>
      <c r="H125" t="s">
        <v>21</v>
      </c>
      <c r="I125">
        <v>53363</v>
      </c>
    </row>
    <row r="126" spans="1:9">
      <c r="A126" s="5">
        <v>45663</v>
      </c>
      <c r="B126" t="s">
        <v>23</v>
      </c>
      <c r="C126">
        <v>9980</v>
      </c>
      <c r="D126">
        <v>726</v>
      </c>
      <c r="F126">
        <v>781868</v>
      </c>
      <c r="G126" s="7">
        <v>4.0220344099003928E-2</v>
      </c>
      <c r="H126" t="s">
        <v>21</v>
      </c>
      <c r="I126">
        <v>58709</v>
      </c>
    </row>
    <row r="127" spans="1:9">
      <c r="A127" s="5">
        <v>45663</v>
      </c>
      <c r="B127" t="s">
        <v>48</v>
      </c>
      <c r="C127">
        <v>8451</v>
      </c>
      <c r="D127">
        <v>783</v>
      </c>
      <c r="F127">
        <v>789536</v>
      </c>
      <c r="G127" s="7">
        <v>0.1240728731812102</v>
      </c>
      <c r="H127" t="s">
        <v>21</v>
      </c>
      <c r="I127">
        <v>36201</v>
      </c>
    </row>
    <row r="128" spans="1:9">
      <c r="A128" s="5">
        <v>45663</v>
      </c>
      <c r="B128" t="s">
        <v>17</v>
      </c>
      <c r="C128">
        <v>9906</v>
      </c>
      <c r="D128">
        <v>1305</v>
      </c>
      <c r="F128">
        <v>798137</v>
      </c>
      <c r="G128" s="7">
        <v>9.1811305577864447E-2</v>
      </c>
      <c r="H128" t="s">
        <v>21</v>
      </c>
      <c r="I128">
        <v>29715</v>
      </c>
    </row>
    <row r="129" spans="1:9">
      <c r="A129" s="5">
        <v>45663</v>
      </c>
      <c r="B129" t="s">
        <v>48</v>
      </c>
      <c r="C129">
        <v>1775</v>
      </c>
      <c r="D129">
        <v>241</v>
      </c>
      <c r="F129">
        <v>799671</v>
      </c>
      <c r="G129" s="7">
        <v>8.1379717408784358E-2</v>
      </c>
      <c r="H129" t="s">
        <v>21</v>
      </c>
      <c r="I129">
        <v>39309</v>
      </c>
    </row>
    <row r="130" spans="1:9">
      <c r="A130" s="5">
        <v>45670</v>
      </c>
      <c r="B130" t="s">
        <v>23</v>
      </c>
      <c r="C130">
        <v>7869</v>
      </c>
      <c r="D130">
        <v>398</v>
      </c>
      <c r="F130">
        <v>807142</v>
      </c>
      <c r="G130" s="7">
        <v>0.1521194535781808</v>
      </c>
      <c r="H130" t="s">
        <v>321</v>
      </c>
      <c r="I130">
        <v>25078</v>
      </c>
    </row>
    <row r="131" spans="1:9">
      <c r="A131" s="5">
        <v>45670</v>
      </c>
      <c r="B131" t="s">
        <v>28</v>
      </c>
      <c r="C131">
        <v>3247</v>
      </c>
      <c r="D131">
        <v>328</v>
      </c>
      <c r="F131">
        <v>810061</v>
      </c>
      <c r="G131" s="7">
        <v>0.139411723314664</v>
      </c>
      <c r="H131" t="s">
        <v>321</v>
      </c>
      <c r="I131">
        <v>15105</v>
      </c>
    </row>
    <row r="132" spans="1:9">
      <c r="A132" s="5">
        <v>45670</v>
      </c>
      <c r="B132" t="s">
        <v>48</v>
      </c>
      <c r="C132">
        <v>8088</v>
      </c>
      <c r="D132">
        <v>742</v>
      </c>
      <c r="F132">
        <v>817407</v>
      </c>
      <c r="G132" s="7">
        <v>0.146645428776607</v>
      </c>
      <c r="H132" t="s">
        <v>321</v>
      </c>
      <c r="I132">
        <v>39312</v>
      </c>
    </row>
    <row r="133" spans="1:9">
      <c r="A133" s="5">
        <v>45670</v>
      </c>
      <c r="B133" t="s">
        <v>17</v>
      </c>
      <c r="C133">
        <v>1078</v>
      </c>
      <c r="D133">
        <v>77</v>
      </c>
      <c r="F133">
        <v>818408</v>
      </c>
      <c r="G133" s="7">
        <v>0.18236747441373993</v>
      </c>
      <c r="H133" t="s">
        <v>321</v>
      </c>
      <c r="I133">
        <v>12839</v>
      </c>
    </row>
    <row r="134" spans="1:9">
      <c r="A134" s="5">
        <v>45677</v>
      </c>
      <c r="B134" t="s">
        <v>48</v>
      </c>
      <c r="C134">
        <v>9080</v>
      </c>
      <c r="D134">
        <v>562</v>
      </c>
      <c r="F134">
        <v>826926</v>
      </c>
      <c r="G134" s="7">
        <v>7.1083748727213805E-2</v>
      </c>
      <c r="H134" t="s">
        <v>321</v>
      </c>
      <c r="I134">
        <v>13384</v>
      </c>
    </row>
    <row r="135" spans="1:9">
      <c r="A135" s="5">
        <v>45677</v>
      </c>
      <c r="B135" t="s">
        <v>48</v>
      </c>
      <c r="C135">
        <v>8099</v>
      </c>
      <c r="D135">
        <v>678</v>
      </c>
      <c r="F135">
        <v>834347</v>
      </c>
      <c r="G135" s="7">
        <v>7.6464588474579515E-2</v>
      </c>
      <c r="H135" t="s">
        <v>321</v>
      </c>
      <c r="I135">
        <v>53619</v>
      </c>
    </row>
    <row r="136" spans="1:9">
      <c r="A136" s="5">
        <v>45677</v>
      </c>
      <c r="B136" t="s">
        <v>48</v>
      </c>
      <c r="C136">
        <v>4926</v>
      </c>
      <c r="D136">
        <v>710</v>
      </c>
      <c r="F136">
        <v>838563</v>
      </c>
      <c r="G136" s="7">
        <v>0.12962174577223182</v>
      </c>
      <c r="H136" t="s">
        <v>321</v>
      </c>
      <c r="I136">
        <v>52821</v>
      </c>
    </row>
    <row r="137" spans="1:9">
      <c r="A137" s="5">
        <v>45677</v>
      </c>
      <c r="B137" t="s">
        <v>17</v>
      </c>
      <c r="C137">
        <v>8340</v>
      </c>
      <c r="D137">
        <v>686</v>
      </c>
      <c r="F137">
        <v>846217</v>
      </c>
      <c r="G137" s="7">
        <v>7.2013443360272836E-2</v>
      </c>
      <c r="H137" t="s">
        <v>321</v>
      </c>
      <c r="I137">
        <v>23493</v>
      </c>
    </row>
    <row r="138" spans="1:9">
      <c r="A138" s="5">
        <v>45684</v>
      </c>
      <c r="B138" t="s">
        <v>23</v>
      </c>
      <c r="C138">
        <v>8083</v>
      </c>
      <c r="D138">
        <v>823</v>
      </c>
      <c r="F138">
        <v>853477</v>
      </c>
      <c r="G138" s="7">
        <v>4.6300017457998291E-2</v>
      </c>
      <c r="H138" t="s">
        <v>321</v>
      </c>
      <c r="I138">
        <v>27069</v>
      </c>
    </row>
    <row r="139" spans="1:9">
      <c r="A139" s="5">
        <v>45684</v>
      </c>
      <c r="B139" t="s">
        <v>48</v>
      </c>
      <c r="C139">
        <v>7230</v>
      </c>
      <c r="D139">
        <v>869</v>
      </c>
      <c r="F139">
        <v>859838</v>
      </c>
      <c r="G139" s="7">
        <v>7.0117859410726208E-2</v>
      </c>
      <c r="H139" t="s">
        <v>321</v>
      </c>
      <c r="I139">
        <v>56907</v>
      </c>
    </row>
    <row r="140" spans="1:9">
      <c r="A140" s="5">
        <v>45684</v>
      </c>
      <c r="B140" t="s">
        <v>48</v>
      </c>
      <c r="C140">
        <v>5940</v>
      </c>
      <c r="D140">
        <v>512</v>
      </c>
      <c r="F140">
        <v>865266</v>
      </c>
      <c r="G140" s="7">
        <v>0.157972230504839</v>
      </c>
      <c r="H140" t="s">
        <v>321</v>
      </c>
      <c r="I140">
        <v>17531</v>
      </c>
    </row>
    <row r="141" spans="1:9">
      <c r="A141" s="5">
        <v>45684</v>
      </c>
      <c r="B141" t="s">
        <v>28</v>
      </c>
      <c r="C141">
        <v>4271</v>
      </c>
      <c r="D141">
        <v>628</v>
      </c>
      <c r="F141">
        <v>868909</v>
      </c>
      <c r="G141" s="7">
        <v>0.11124410036033693</v>
      </c>
      <c r="H141" t="s">
        <v>321</v>
      </c>
      <c r="I141">
        <v>47051</v>
      </c>
    </row>
    <row r="142" spans="1:9">
      <c r="A142" s="5">
        <v>45691</v>
      </c>
      <c r="B142" t="s">
        <v>17</v>
      </c>
      <c r="C142">
        <v>4456</v>
      </c>
      <c r="D142">
        <v>651</v>
      </c>
      <c r="F142">
        <v>872714</v>
      </c>
      <c r="G142" s="7">
        <v>9.5052903929580601E-2</v>
      </c>
      <c r="H142" t="s">
        <v>321</v>
      </c>
      <c r="I142">
        <v>17736</v>
      </c>
    </row>
    <row r="143" spans="1:9">
      <c r="A143" s="5">
        <v>45691</v>
      </c>
      <c r="B143" t="s">
        <v>48</v>
      </c>
      <c r="C143">
        <v>8788</v>
      </c>
      <c r="D143">
        <v>660</v>
      </c>
      <c r="F143">
        <v>880842</v>
      </c>
      <c r="G143" s="7">
        <v>3.7175793161543159E-2</v>
      </c>
      <c r="H143" t="s">
        <v>321</v>
      </c>
      <c r="I143">
        <v>17710</v>
      </c>
    </row>
    <row r="144" spans="1:9">
      <c r="A144" s="5">
        <v>45691</v>
      </c>
      <c r="B144" t="s">
        <v>17</v>
      </c>
      <c r="C144">
        <v>9599</v>
      </c>
      <c r="D144">
        <v>957</v>
      </c>
      <c r="F144">
        <v>889484</v>
      </c>
      <c r="G144" s="7">
        <v>8.7680048207724931E-2</v>
      </c>
      <c r="H144" t="s">
        <v>321</v>
      </c>
      <c r="I144">
        <v>11619</v>
      </c>
    </row>
    <row r="145" spans="1:9">
      <c r="A145" s="5">
        <v>45691</v>
      </c>
      <c r="B145" t="s">
        <v>48</v>
      </c>
      <c r="C145">
        <v>8650</v>
      </c>
      <c r="D145">
        <v>692</v>
      </c>
      <c r="F145">
        <v>897442</v>
      </c>
      <c r="G145" s="7">
        <v>7.6673478620345376E-2</v>
      </c>
      <c r="H145" t="s">
        <v>321</v>
      </c>
      <c r="I145">
        <v>23975</v>
      </c>
    </row>
    <row r="146" spans="1:9">
      <c r="A146" s="5">
        <v>45698</v>
      </c>
      <c r="B146" t="s">
        <v>23</v>
      </c>
      <c r="C146">
        <v>3711</v>
      </c>
      <c r="D146">
        <v>291</v>
      </c>
      <c r="F146">
        <v>900862</v>
      </c>
      <c r="G146" s="7">
        <v>0.14248797263065821</v>
      </c>
      <c r="H146" t="s">
        <v>321</v>
      </c>
      <c r="I146">
        <v>55603</v>
      </c>
    </row>
    <row r="147" spans="1:9">
      <c r="A147" s="5">
        <v>45698</v>
      </c>
      <c r="B147" t="s">
        <v>23</v>
      </c>
      <c r="C147">
        <v>2668</v>
      </c>
      <c r="D147">
        <v>143</v>
      </c>
      <c r="F147">
        <v>903387</v>
      </c>
      <c r="G147" s="7">
        <v>0.15903372530266649</v>
      </c>
      <c r="H147" t="s">
        <v>321</v>
      </c>
      <c r="I147">
        <v>33252</v>
      </c>
    </row>
    <row r="148" spans="1:9">
      <c r="A148" s="5">
        <v>45698</v>
      </c>
      <c r="B148" t="s">
        <v>48</v>
      </c>
      <c r="C148">
        <v>1147</v>
      </c>
      <c r="D148">
        <v>127</v>
      </c>
      <c r="F148">
        <v>904407</v>
      </c>
      <c r="G148" s="7">
        <v>1.3997016829812241E-2</v>
      </c>
      <c r="H148" t="s">
        <v>321</v>
      </c>
      <c r="I148">
        <v>25261</v>
      </c>
    </row>
    <row r="149" spans="1:9">
      <c r="A149" s="5">
        <v>45698</v>
      </c>
      <c r="B149" t="s">
        <v>23</v>
      </c>
      <c r="C149">
        <v>7420</v>
      </c>
      <c r="D149">
        <v>743</v>
      </c>
      <c r="F149">
        <v>911084</v>
      </c>
      <c r="G149" s="7">
        <v>0.1059353473444819</v>
      </c>
      <c r="H149" t="s">
        <v>321</v>
      </c>
      <c r="I149">
        <v>11431</v>
      </c>
    </row>
    <row r="150" spans="1:9">
      <c r="A150" s="5">
        <v>45705</v>
      </c>
      <c r="B150" t="s">
        <v>48</v>
      </c>
      <c r="C150">
        <v>1365</v>
      </c>
      <c r="D150">
        <v>75</v>
      </c>
      <c r="F150">
        <v>912374</v>
      </c>
      <c r="G150" s="7">
        <v>9.2688963078737446E-2</v>
      </c>
      <c r="H150" t="s">
        <v>321</v>
      </c>
      <c r="I150">
        <v>19067</v>
      </c>
    </row>
    <row r="151" spans="1:9">
      <c r="A151" s="5">
        <v>45705</v>
      </c>
      <c r="B151" t="s">
        <v>23</v>
      </c>
      <c r="C151">
        <v>5531</v>
      </c>
      <c r="D151">
        <v>430</v>
      </c>
      <c r="F151">
        <v>917475</v>
      </c>
      <c r="G151" s="7">
        <v>2.728902694896319E-2</v>
      </c>
      <c r="H151" t="s">
        <v>321</v>
      </c>
      <c r="I151">
        <v>47481</v>
      </c>
    </row>
    <row r="152" spans="1:9">
      <c r="A152" s="5">
        <v>45705</v>
      </c>
      <c r="B152" t="s">
        <v>28</v>
      </c>
      <c r="C152">
        <v>6330</v>
      </c>
      <c r="D152">
        <v>891</v>
      </c>
      <c r="F152">
        <v>922914</v>
      </c>
      <c r="G152" s="7">
        <v>0.14789893749580141</v>
      </c>
      <c r="H152" t="s">
        <v>321</v>
      </c>
      <c r="I152">
        <v>37037</v>
      </c>
    </row>
    <row r="153" spans="1:9">
      <c r="A153" s="5">
        <v>45705</v>
      </c>
      <c r="B153" t="s">
        <v>28</v>
      </c>
      <c r="C153">
        <v>6510</v>
      </c>
      <c r="D153">
        <v>481</v>
      </c>
      <c r="F153">
        <v>928943</v>
      </c>
      <c r="G153" s="7">
        <v>2.3800168578696428E-2</v>
      </c>
      <c r="H153" t="s">
        <v>321</v>
      </c>
      <c r="I153">
        <v>19557</v>
      </c>
    </row>
    <row r="154" spans="1:9">
      <c r="A154" s="5">
        <v>45712</v>
      </c>
      <c r="B154" t="s">
        <v>28</v>
      </c>
      <c r="C154">
        <v>9754</v>
      </c>
      <c r="D154">
        <v>629</v>
      </c>
      <c r="F154">
        <v>938068</v>
      </c>
      <c r="G154" s="7">
        <v>3.4123325814333291E-2</v>
      </c>
      <c r="H154" t="s">
        <v>321</v>
      </c>
      <c r="I154">
        <v>19435</v>
      </c>
    </row>
    <row r="155" spans="1:9">
      <c r="A155" s="5">
        <v>45712</v>
      </c>
      <c r="B155" t="s">
        <v>17</v>
      </c>
      <c r="C155">
        <v>9964</v>
      </c>
      <c r="D155">
        <v>985</v>
      </c>
      <c r="F155">
        <v>947047</v>
      </c>
      <c r="G155" s="7">
        <v>1.9837452629066991E-2</v>
      </c>
      <c r="H155" t="s">
        <v>321</v>
      </c>
      <c r="I155">
        <v>47766</v>
      </c>
    </row>
    <row r="156" spans="1:9">
      <c r="A156" s="5">
        <v>45712</v>
      </c>
      <c r="B156" t="s">
        <v>17</v>
      </c>
      <c r="C156">
        <v>7493</v>
      </c>
      <c r="D156">
        <v>1113</v>
      </c>
      <c r="F156">
        <v>953427</v>
      </c>
      <c r="G156" s="7">
        <v>0.15684892498324471</v>
      </c>
      <c r="H156" t="s">
        <v>321</v>
      </c>
      <c r="I156">
        <v>10162</v>
      </c>
    </row>
    <row r="157" spans="1:9">
      <c r="A157" s="5">
        <v>45712</v>
      </c>
      <c r="B157" t="s">
        <v>28</v>
      </c>
      <c r="C157">
        <v>6439</v>
      </c>
      <c r="D157">
        <v>477</v>
      </c>
      <c r="F157">
        <v>959389</v>
      </c>
      <c r="G157" s="7">
        <v>7.474444672598915E-2</v>
      </c>
      <c r="H157" t="s">
        <v>321</v>
      </c>
      <c r="I157">
        <v>44742</v>
      </c>
    </row>
    <row r="158" spans="1:9">
      <c r="A158" s="5">
        <v>45719</v>
      </c>
      <c r="B158" t="s">
        <v>17</v>
      </c>
      <c r="C158">
        <v>7511</v>
      </c>
      <c r="D158">
        <v>880</v>
      </c>
      <c r="F158">
        <v>966020</v>
      </c>
      <c r="G158" s="7">
        <v>4.608393200968925E-2</v>
      </c>
      <c r="H158" t="s">
        <v>32</v>
      </c>
      <c r="I158">
        <v>29675</v>
      </c>
    </row>
    <row r="159" spans="1:9">
      <c r="A159" s="5">
        <v>45719</v>
      </c>
      <c r="B159" t="s">
        <v>23</v>
      </c>
      <c r="C159">
        <v>8504</v>
      </c>
      <c r="D159">
        <v>1072</v>
      </c>
      <c r="F159">
        <v>973452</v>
      </c>
      <c r="G159" s="7">
        <v>6.5651927367759266E-2</v>
      </c>
      <c r="H159" t="s">
        <v>32</v>
      </c>
      <c r="I159">
        <v>18461</v>
      </c>
    </row>
    <row r="160" spans="1:9">
      <c r="A160" s="5">
        <v>45719</v>
      </c>
      <c r="B160" t="s">
        <v>48</v>
      </c>
      <c r="C160">
        <v>2246</v>
      </c>
      <c r="D160">
        <v>165</v>
      </c>
      <c r="F160">
        <v>975533</v>
      </c>
      <c r="G160" s="7">
        <v>2.9062061457685192E-2</v>
      </c>
      <c r="H160" t="s">
        <v>32</v>
      </c>
      <c r="I160">
        <v>27015</v>
      </c>
    </row>
    <row r="161" spans="1:9">
      <c r="A161" s="5">
        <v>45719</v>
      </c>
      <c r="B161" t="s">
        <v>48</v>
      </c>
      <c r="C161">
        <v>4839</v>
      </c>
      <c r="D161">
        <v>594</v>
      </c>
      <c r="F161">
        <v>979778</v>
      </c>
      <c r="G161" s="7">
        <v>2.5803804535313103E-2</v>
      </c>
      <c r="H161" t="s">
        <v>32</v>
      </c>
      <c r="I161">
        <v>42591</v>
      </c>
    </row>
    <row r="162" spans="1:9">
      <c r="A162" s="5">
        <v>45726</v>
      </c>
      <c r="B162" t="s">
        <v>48</v>
      </c>
      <c r="C162">
        <v>9551</v>
      </c>
      <c r="D162">
        <v>828</v>
      </c>
      <c r="F162">
        <v>988501</v>
      </c>
      <c r="G162" s="7">
        <v>1.5250363934887268E-2</v>
      </c>
      <c r="H162" t="s">
        <v>32</v>
      </c>
      <c r="I162">
        <v>38047</v>
      </c>
    </row>
    <row r="163" spans="1:9">
      <c r="A163" s="5">
        <v>45726</v>
      </c>
      <c r="B163" t="s">
        <v>28</v>
      </c>
      <c r="C163">
        <v>3376</v>
      </c>
      <c r="D163">
        <v>382</v>
      </c>
      <c r="F163">
        <v>991495</v>
      </c>
      <c r="G163" s="7">
        <v>3.8694093263203555E-2</v>
      </c>
      <c r="H163" t="s">
        <v>32</v>
      </c>
      <c r="I163">
        <v>44782</v>
      </c>
    </row>
    <row r="164" spans="1:9">
      <c r="A164" s="5">
        <v>45726</v>
      </c>
      <c r="B164" t="s">
        <v>17</v>
      </c>
      <c r="C164">
        <v>4009</v>
      </c>
      <c r="D164">
        <v>454</v>
      </c>
      <c r="F164">
        <v>995050</v>
      </c>
      <c r="G164" s="7">
        <v>2.1106477061454201E-2</v>
      </c>
      <c r="H164" t="s">
        <v>32</v>
      </c>
      <c r="I164">
        <v>19833</v>
      </c>
    </row>
    <row r="165" spans="1:9">
      <c r="A165" s="5">
        <v>45726</v>
      </c>
      <c r="B165" t="s">
        <v>23</v>
      </c>
      <c r="C165">
        <v>2827</v>
      </c>
      <c r="D165">
        <v>292</v>
      </c>
      <c r="F165">
        <v>997585</v>
      </c>
      <c r="G165" s="7">
        <v>2.4004972007397873E-2</v>
      </c>
      <c r="H165" t="s">
        <v>32</v>
      </c>
      <c r="I165">
        <v>17896</v>
      </c>
    </row>
    <row r="166" spans="1:9">
      <c r="A166" s="5">
        <v>45733</v>
      </c>
      <c r="B166" t="s">
        <v>23</v>
      </c>
      <c r="C166">
        <v>7979</v>
      </c>
      <c r="D166">
        <v>470</v>
      </c>
      <c r="F166">
        <v>1005094</v>
      </c>
      <c r="G166" s="7">
        <v>0.10430865172809713</v>
      </c>
      <c r="H166" t="s">
        <v>32</v>
      </c>
      <c r="I166">
        <v>42972</v>
      </c>
    </row>
    <row r="167" spans="1:9">
      <c r="A167" s="5">
        <v>45733</v>
      </c>
      <c r="B167" t="s">
        <v>28</v>
      </c>
      <c r="C167">
        <v>9569</v>
      </c>
      <c r="D167">
        <v>1277</v>
      </c>
      <c r="F167">
        <v>1013386</v>
      </c>
      <c r="G167" s="7">
        <v>0.1245517502708741</v>
      </c>
      <c r="H167" t="s">
        <v>32</v>
      </c>
      <c r="I167">
        <v>59733</v>
      </c>
    </row>
    <row r="168" spans="1:9">
      <c r="A168" s="5">
        <v>45733</v>
      </c>
      <c r="B168" t="s">
        <v>23</v>
      </c>
      <c r="C168">
        <v>5285</v>
      </c>
      <c r="D168">
        <v>433</v>
      </c>
      <c r="F168">
        <v>1018238</v>
      </c>
      <c r="G168" s="7">
        <v>8.7022876773406629E-2</v>
      </c>
      <c r="H168" t="s">
        <v>32</v>
      </c>
      <c r="I168">
        <v>51800</v>
      </c>
    </row>
    <row r="169" spans="1:9">
      <c r="A169" s="5">
        <v>45733</v>
      </c>
      <c r="B169" t="s">
        <v>23</v>
      </c>
      <c r="C169">
        <v>7910</v>
      </c>
      <c r="D169">
        <v>543</v>
      </c>
      <c r="F169">
        <v>1025605</v>
      </c>
      <c r="G169" s="7">
        <v>6.0590578244060826E-2</v>
      </c>
      <c r="H169" t="s">
        <v>32</v>
      </c>
      <c r="I169">
        <v>40508</v>
      </c>
    </row>
    <row r="170" spans="1:9">
      <c r="A170" s="5">
        <v>45740</v>
      </c>
      <c r="B170" t="s">
        <v>23</v>
      </c>
      <c r="C170">
        <v>9561</v>
      </c>
      <c r="D170">
        <v>517</v>
      </c>
      <c r="F170">
        <v>1034649</v>
      </c>
      <c r="G170" s="7">
        <v>6.4086467971263689E-2</v>
      </c>
      <c r="H170" t="s">
        <v>32</v>
      </c>
      <c r="I170">
        <v>15347</v>
      </c>
    </row>
    <row r="171" spans="1:9">
      <c r="A171" s="5">
        <v>45740</v>
      </c>
      <c r="B171" t="s">
        <v>23</v>
      </c>
      <c r="C171">
        <v>3196</v>
      </c>
      <c r="D171">
        <v>348</v>
      </c>
      <c r="F171">
        <v>1037497</v>
      </c>
      <c r="G171" s="7">
        <v>0.14030402015620289</v>
      </c>
      <c r="H171" t="s">
        <v>32</v>
      </c>
      <c r="I171">
        <v>40314</v>
      </c>
    </row>
    <row r="172" spans="1:9">
      <c r="A172" s="5">
        <v>45740</v>
      </c>
      <c r="B172" t="s">
        <v>17</v>
      </c>
      <c r="C172">
        <v>4747</v>
      </c>
      <c r="D172">
        <v>558</v>
      </c>
      <c r="F172">
        <v>1041686</v>
      </c>
      <c r="G172" s="7">
        <v>5.7680529449373442E-2</v>
      </c>
      <c r="H172" t="s">
        <v>32</v>
      </c>
      <c r="I172">
        <v>12643</v>
      </c>
    </row>
    <row r="173" spans="1:9">
      <c r="A173" s="5">
        <v>45740</v>
      </c>
      <c r="B173" t="s">
        <v>23</v>
      </c>
      <c r="C173">
        <v>9843</v>
      </c>
      <c r="D173">
        <v>508</v>
      </c>
      <c r="F173">
        <v>1051021</v>
      </c>
      <c r="G173" s="7">
        <v>4.2080986012648654E-2</v>
      </c>
      <c r="H173" t="s">
        <v>32</v>
      </c>
      <c r="I173">
        <v>50785</v>
      </c>
    </row>
    <row r="174" spans="1:9">
      <c r="A174" s="5">
        <v>45747</v>
      </c>
      <c r="B174" t="s">
        <v>48</v>
      </c>
      <c r="C174">
        <v>6978</v>
      </c>
      <c r="D174">
        <v>706</v>
      </c>
      <c r="F174">
        <v>1057293</v>
      </c>
      <c r="G174" s="7">
        <v>5.057443868445171E-2</v>
      </c>
      <c r="H174" t="s">
        <v>32</v>
      </c>
      <c r="I174">
        <v>28681</v>
      </c>
    </row>
    <row r="175" spans="1:9">
      <c r="A175" s="5">
        <v>45747</v>
      </c>
      <c r="B175" t="s">
        <v>28</v>
      </c>
      <c r="C175">
        <v>6607</v>
      </c>
      <c r="D175">
        <v>479</v>
      </c>
      <c r="F175">
        <v>1063421</v>
      </c>
      <c r="G175" s="7">
        <v>5.5892257158735817E-2</v>
      </c>
      <c r="H175" t="s">
        <v>32</v>
      </c>
      <c r="I175">
        <v>48328</v>
      </c>
    </row>
    <row r="176" spans="1:9">
      <c r="A176" s="5">
        <v>45747</v>
      </c>
      <c r="B176" t="s">
        <v>17</v>
      </c>
      <c r="C176">
        <v>1769</v>
      </c>
      <c r="D176">
        <v>202</v>
      </c>
      <c r="F176">
        <v>1064988</v>
      </c>
      <c r="G176" s="7">
        <v>6.5457075572682516E-2</v>
      </c>
      <c r="H176" t="s">
        <v>32</v>
      </c>
      <c r="I176">
        <v>25892</v>
      </c>
    </row>
    <row r="177" spans="1:9">
      <c r="A177" s="5">
        <v>45747</v>
      </c>
      <c r="B177" t="s">
        <v>23</v>
      </c>
      <c r="C177">
        <v>1780</v>
      </c>
      <c r="D177">
        <v>120</v>
      </c>
      <c r="F177">
        <v>1066648</v>
      </c>
      <c r="G177" s="7">
        <v>0.1386474263299608</v>
      </c>
      <c r="H177" t="s">
        <v>32</v>
      </c>
      <c r="I177">
        <v>57299</v>
      </c>
    </row>
    <row r="178" spans="1:9">
      <c r="A178" s="5">
        <v>45754</v>
      </c>
      <c r="B178" t="s">
        <v>17</v>
      </c>
      <c r="C178">
        <v>7303</v>
      </c>
      <c r="D178">
        <v>869</v>
      </c>
      <c r="F178">
        <v>1073082</v>
      </c>
      <c r="G178" s="7">
        <v>8.123796690280892E-2</v>
      </c>
      <c r="H178" t="s">
        <v>321</v>
      </c>
      <c r="I178">
        <v>27073</v>
      </c>
    </row>
    <row r="179" spans="1:9">
      <c r="A179" s="5">
        <v>45754</v>
      </c>
      <c r="B179" t="s">
        <v>23</v>
      </c>
      <c r="C179">
        <v>4983</v>
      </c>
      <c r="D179">
        <v>441</v>
      </c>
      <c r="F179">
        <v>1077624</v>
      </c>
      <c r="G179" s="7">
        <v>6.8954477628560606E-2</v>
      </c>
      <c r="H179" t="s">
        <v>321</v>
      </c>
      <c r="I179">
        <v>46768</v>
      </c>
    </row>
    <row r="180" spans="1:9">
      <c r="A180" s="5">
        <v>45754</v>
      </c>
      <c r="B180" t="s">
        <v>48</v>
      </c>
      <c r="C180">
        <v>9714</v>
      </c>
      <c r="D180">
        <v>1395</v>
      </c>
      <c r="F180">
        <v>1085943</v>
      </c>
      <c r="G180" s="7">
        <v>5.2243073531483698E-2</v>
      </c>
      <c r="H180" t="s">
        <v>321</v>
      </c>
      <c r="I180">
        <v>40682</v>
      </c>
    </row>
    <row r="181" spans="1:9">
      <c r="A181" s="5">
        <v>45754</v>
      </c>
      <c r="B181" t="s">
        <v>28</v>
      </c>
      <c r="C181">
        <v>1521</v>
      </c>
      <c r="D181">
        <v>96</v>
      </c>
      <c r="F181">
        <v>1087368</v>
      </c>
      <c r="G181" s="7">
        <v>0.12709772588488899</v>
      </c>
      <c r="H181" t="s">
        <v>321</v>
      </c>
      <c r="I181">
        <v>42262</v>
      </c>
    </row>
    <row r="182" spans="1:9">
      <c r="A182" s="5">
        <v>45761</v>
      </c>
      <c r="B182" t="s">
        <v>23</v>
      </c>
      <c r="C182">
        <v>8569</v>
      </c>
      <c r="D182">
        <v>720</v>
      </c>
      <c r="F182">
        <v>1095217</v>
      </c>
      <c r="G182" s="7">
        <v>9.5896977493957827E-2</v>
      </c>
      <c r="H182" t="s">
        <v>321</v>
      </c>
      <c r="I182">
        <v>41358</v>
      </c>
    </row>
    <row r="183" spans="1:9">
      <c r="A183" s="5">
        <v>45761</v>
      </c>
      <c r="B183" t="s">
        <v>23</v>
      </c>
      <c r="C183">
        <v>6784</v>
      </c>
      <c r="D183">
        <v>416</v>
      </c>
      <c r="F183">
        <v>1101585</v>
      </c>
      <c r="G183" s="7">
        <v>9.3041390360253634E-2</v>
      </c>
      <c r="H183" t="s">
        <v>321</v>
      </c>
      <c r="I183">
        <v>24289</v>
      </c>
    </row>
    <row r="184" spans="1:9">
      <c r="A184" s="5">
        <v>45761</v>
      </c>
      <c r="B184" t="s">
        <v>23</v>
      </c>
      <c r="C184">
        <v>5583</v>
      </c>
      <c r="D184">
        <v>795</v>
      </c>
      <c r="F184">
        <v>1106373</v>
      </c>
      <c r="G184" s="7">
        <v>0.1221550055903389</v>
      </c>
      <c r="H184" t="s">
        <v>321</v>
      </c>
      <c r="I184">
        <v>59823</v>
      </c>
    </row>
    <row r="185" spans="1:9">
      <c r="A185" s="5">
        <v>45761</v>
      </c>
      <c r="B185" t="s">
        <v>23</v>
      </c>
      <c r="C185">
        <v>6946</v>
      </c>
      <c r="D185">
        <v>956</v>
      </c>
      <c r="F185">
        <v>1112363</v>
      </c>
      <c r="G185" s="7">
        <v>1.6414605663798602E-2</v>
      </c>
      <c r="H185" t="s">
        <v>321</v>
      </c>
      <c r="I185">
        <v>17927</v>
      </c>
    </row>
    <row r="186" spans="1:9">
      <c r="A186" s="5">
        <v>45768</v>
      </c>
      <c r="B186" t="s">
        <v>28</v>
      </c>
      <c r="C186">
        <v>5941</v>
      </c>
      <c r="D186">
        <v>450</v>
      </c>
      <c r="F186">
        <v>1117854</v>
      </c>
      <c r="G186" s="7">
        <v>0.12414411899944</v>
      </c>
      <c r="H186" t="s">
        <v>321</v>
      </c>
      <c r="I186">
        <v>58330</v>
      </c>
    </row>
    <row r="187" spans="1:9">
      <c r="A187" s="5">
        <v>45768</v>
      </c>
      <c r="B187" t="s">
        <v>28</v>
      </c>
      <c r="C187">
        <v>7267</v>
      </c>
      <c r="D187">
        <v>842</v>
      </c>
      <c r="F187">
        <v>1124279</v>
      </c>
      <c r="G187" s="7">
        <v>2.210216503198939E-2</v>
      </c>
      <c r="H187" t="s">
        <v>321</v>
      </c>
      <c r="I187">
        <v>11171</v>
      </c>
    </row>
    <row r="188" spans="1:9">
      <c r="A188" s="5">
        <v>45768</v>
      </c>
      <c r="B188" t="s">
        <v>48</v>
      </c>
      <c r="C188">
        <v>8128</v>
      </c>
      <c r="D188">
        <v>1070</v>
      </c>
      <c r="F188">
        <v>1131337</v>
      </c>
      <c r="G188" s="7">
        <v>8.1114645768679008E-2</v>
      </c>
      <c r="H188" t="s">
        <v>321</v>
      </c>
      <c r="I188">
        <v>21918</v>
      </c>
    </row>
    <row r="189" spans="1:9">
      <c r="A189" s="5">
        <v>45768</v>
      </c>
      <c r="B189" t="s">
        <v>28</v>
      </c>
      <c r="C189">
        <v>3461</v>
      </c>
      <c r="D189">
        <v>365</v>
      </c>
      <c r="F189">
        <v>1134433</v>
      </c>
      <c r="G189" s="7">
        <v>0.1023489267325616</v>
      </c>
      <c r="H189" t="s">
        <v>321</v>
      </c>
      <c r="I189">
        <v>51903</v>
      </c>
    </row>
    <row r="190" spans="1:9">
      <c r="A190" s="5">
        <v>45775</v>
      </c>
      <c r="B190" t="s">
        <v>23</v>
      </c>
      <c r="C190">
        <v>1685</v>
      </c>
      <c r="D190">
        <v>173</v>
      </c>
      <c r="F190">
        <v>1135945</v>
      </c>
      <c r="G190" s="7">
        <v>8.7776256772995165E-2</v>
      </c>
      <c r="H190" t="s">
        <v>321</v>
      </c>
      <c r="I190">
        <v>49110</v>
      </c>
    </row>
    <row r="191" spans="1:9">
      <c r="A191" s="5">
        <v>45775</v>
      </c>
      <c r="B191" t="s">
        <v>48</v>
      </c>
      <c r="C191">
        <v>3160</v>
      </c>
      <c r="D191">
        <v>234</v>
      </c>
      <c r="F191">
        <v>1138871</v>
      </c>
      <c r="G191" s="7">
        <v>5.6959041015180817E-2</v>
      </c>
      <c r="H191" t="s">
        <v>321</v>
      </c>
      <c r="I191">
        <v>21929</v>
      </c>
    </row>
    <row r="192" spans="1:9">
      <c r="A192" s="5">
        <v>45775</v>
      </c>
      <c r="B192" t="s">
        <v>48</v>
      </c>
      <c r="C192">
        <v>8031</v>
      </c>
      <c r="D192">
        <v>476</v>
      </c>
      <c r="F192">
        <v>1146426</v>
      </c>
      <c r="G192" s="7">
        <v>0.11940413075069832</v>
      </c>
      <c r="H192" t="s">
        <v>321</v>
      </c>
      <c r="I192">
        <v>12539</v>
      </c>
    </row>
    <row r="193" spans="1:9">
      <c r="A193" s="5">
        <v>45775</v>
      </c>
      <c r="B193" t="s">
        <v>48</v>
      </c>
      <c r="C193">
        <v>6341</v>
      </c>
      <c r="D193">
        <v>885</v>
      </c>
      <c r="F193">
        <v>1151882</v>
      </c>
      <c r="G193" s="7">
        <v>6.3457020771224837E-2</v>
      </c>
      <c r="H193" t="s">
        <v>321</v>
      </c>
      <c r="I193">
        <v>46727</v>
      </c>
    </row>
    <row r="194" spans="1:9">
      <c r="A194" s="5">
        <v>45782</v>
      </c>
      <c r="B194" t="s">
        <v>23</v>
      </c>
      <c r="C194">
        <v>1038</v>
      </c>
      <c r="D194">
        <v>145</v>
      </c>
      <c r="F194">
        <v>1152775</v>
      </c>
      <c r="G194" s="7">
        <v>0.11093752033137431</v>
      </c>
      <c r="H194" t="s">
        <v>321</v>
      </c>
      <c r="I194">
        <v>55951</v>
      </c>
    </row>
    <row r="195" spans="1:9">
      <c r="A195" s="5">
        <v>45782</v>
      </c>
      <c r="B195" t="s">
        <v>17</v>
      </c>
      <c r="C195">
        <v>5875</v>
      </c>
      <c r="D195">
        <v>665</v>
      </c>
      <c r="F195">
        <v>1157985</v>
      </c>
      <c r="G195" s="7">
        <v>6.9871371390821127E-2</v>
      </c>
      <c r="H195" t="s">
        <v>321</v>
      </c>
      <c r="I195">
        <v>32669</v>
      </c>
    </row>
    <row r="196" spans="1:9">
      <c r="A196" s="5">
        <v>45782</v>
      </c>
      <c r="B196" t="s">
        <v>23</v>
      </c>
      <c r="C196">
        <v>2256</v>
      </c>
      <c r="D196">
        <v>189</v>
      </c>
      <c r="F196">
        <v>1160052</v>
      </c>
      <c r="G196" s="7">
        <v>2.8935771844710412E-2</v>
      </c>
      <c r="H196" t="s">
        <v>321</v>
      </c>
      <c r="I196">
        <v>15432</v>
      </c>
    </row>
    <row r="197" spans="1:9">
      <c r="A197" s="5">
        <v>45782</v>
      </c>
      <c r="B197" t="s">
        <v>28</v>
      </c>
      <c r="C197">
        <v>8697</v>
      </c>
      <c r="D197">
        <v>738</v>
      </c>
      <c r="F197">
        <v>1168011</v>
      </c>
      <c r="G197" s="7">
        <v>3.877703206562267E-2</v>
      </c>
      <c r="H197" t="s">
        <v>321</v>
      </c>
      <c r="I197">
        <v>30644</v>
      </c>
    </row>
    <row r="198" spans="1:9">
      <c r="A198" s="5">
        <v>45789</v>
      </c>
      <c r="B198" t="s">
        <v>28</v>
      </c>
      <c r="C198">
        <v>3196</v>
      </c>
      <c r="D198">
        <v>391</v>
      </c>
      <c r="F198">
        <v>1170816</v>
      </c>
      <c r="G198" s="7">
        <v>7.2439221876024931E-2</v>
      </c>
      <c r="H198" t="s">
        <v>321</v>
      </c>
      <c r="I198">
        <v>28745</v>
      </c>
    </row>
    <row r="199" spans="1:9">
      <c r="A199" s="5">
        <v>45789</v>
      </c>
      <c r="B199" t="s">
        <v>23</v>
      </c>
      <c r="C199">
        <v>8165</v>
      </c>
      <c r="D199">
        <v>1140</v>
      </c>
      <c r="F199">
        <v>1177841</v>
      </c>
      <c r="G199" s="7">
        <v>9.0959645656756724E-2</v>
      </c>
      <c r="H199" t="s">
        <v>321</v>
      </c>
      <c r="I199">
        <v>38228</v>
      </c>
    </row>
    <row r="200" spans="1:9">
      <c r="A200" s="5">
        <v>45789</v>
      </c>
      <c r="B200" t="s">
        <v>23</v>
      </c>
      <c r="C200">
        <v>1301</v>
      </c>
      <c r="D200">
        <v>180</v>
      </c>
      <c r="F200">
        <v>1178962</v>
      </c>
      <c r="G200" s="7">
        <v>5.2275645864752217E-2</v>
      </c>
      <c r="H200" t="s">
        <v>321</v>
      </c>
      <c r="I200">
        <v>44521</v>
      </c>
    </row>
    <row r="201" spans="1:9">
      <c r="A201" s="5">
        <v>45789</v>
      </c>
      <c r="B201" t="s">
        <v>48</v>
      </c>
      <c r="C201">
        <v>8527</v>
      </c>
      <c r="D201">
        <v>1091</v>
      </c>
      <c r="E201">
        <v>2805</v>
      </c>
      <c r="F201">
        <v>1186398</v>
      </c>
      <c r="G201" s="7">
        <v>0</v>
      </c>
      <c r="H201" t="s">
        <v>321</v>
      </c>
      <c r="I201">
        <v>41703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7C7C9-0D2C-43E9-AD5D-E60CF5A2767C}">
  <sheetPr filterMode="1"/>
  <dimension ref="A1:B201"/>
  <sheetViews>
    <sheetView workbookViewId="0">
      <selection activeCell="G26" sqref="G26"/>
    </sheetView>
  </sheetViews>
  <sheetFormatPr defaultRowHeight="14.4"/>
  <cols>
    <col min="1" max="1" width="17.33203125" style="33" customWidth="1"/>
    <col min="2" max="2" width="13.77734375" style="33" customWidth="1"/>
  </cols>
  <sheetData>
    <row r="1" spans="1:2" ht="15.6">
      <c r="A1" s="34" t="s">
        <v>317</v>
      </c>
      <c r="B1" s="34" t="s">
        <v>320</v>
      </c>
    </row>
    <row r="2" spans="1:2">
      <c r="A2" s="33">
        <v>3777</v>
      </c>
      <c r="B2" s="33">
        <v>23944</v>
      </c>
    </row>
    <row r="3" spans="1:2">
      <c r="A3" s="33">
        <v>7215</v>
      </c>
      <c r="B3" s="33">
        <v>29873</v>
      </c>
    </row>
    <row r="4" spans="1:2">
      <c r="A4" s="33">
        <v>7452</v>
      </c>
      <c r="B4" s="33">
        <v>50372</v>
      </c>
    </row>
    <row r="5" spans="1:2">
      <c r="A5" s="33">
        <v>8654</v>
      </c>
      <c r="B5" s="33">
        <v>33928</v>
      </c>
    </row>
    <row r="6" spans="1:2">
      <c r="A6" s="33">
        <v>5442</v>
      </c>
      <c r="B6" s="33">
        <v>25379</v>
      </c>
    </row>
    <row r="7" spans="1:2">
      <c r="A7" s="33">
        <v>7151</v>
      </c>
      <c r="B7" s="33">
        <v>46751</v>
      </c>
    </row>
    <row r="8" spans="1:2">
      <c r="A8" s="33">
        <v>3586</v>
      </c>
      <c r="B8" s="33">
        <v>44546</v>
      </c>
    </row>
    <row r="9" spans="1:2">
      <c r="A9" s="33">
        <v>7429</v>
      </c>
      <c r="B9" s="33">
        <v>34286</v>
      </c>
    </row>
    <row r="10" spans="1:2">
      <c r="A10" s="33">
        <v>1741</v>
      </c>
      <c r="B10" s="33">
        <v>15110</v>
      </c>
    </row>
    <row r="11" spans="1:2">
      <c r="A11" s="33">
        <v>3213</v>
      </c>
      <c r="B11" s="33">
        <v>22087</v>
      </c>
    </row>
    <row r="12" spans="1:2">
      <c r="A12" s="33">
        <v>5795</v>
      </c>
      <c r="B12" s="33">
        <v>33762</v>
      </c>
    </row>
    <row r="13" spans="1:2">
      <c r="A13" s="33">
        <v>6920</v>
      </c>
      <c r="B13" s="33">
        <v>27081</v>
      </c>
    </row>
    <row r="14" spans="1:2">
      <c r="A14" s="33">
        <v>1513</v>
      </c>
      <c r="B14" s="33">
        <v>44947</v>
      </c>
    </row>
    <row r="15" spans="1:2">
      <c r="A15" s="33">
        <v>5520</v>
      </c>
      <c r="B15" s="33">
        <v>19596</v>
      </c>
    </row>
    <row r="16" spans="1:2">
      <c r="A16" s="33">
        <v>7442</v>
      </c>
      <c r="B16" s="33">
        <v>48019</v>
      </c>
    </row>
    <row r="17" spans="1:2">
      <c r="A17" s="33">
        <v>7224</v>
      </c>
      <c r="B17" s="33">
        <v>52003</v>
      </c>
    </row>
    <row r="18" spans="1:2">
      <c r="A18" s="33">
        <v>1309</v>
      </c>
      <c r="B18" s="33">
        <v>28313</v>
      </c>
    </row>
    <row r="19" spans="1:2">
      <c r="A19" s="33">
        <v>8361</v>
      </c>
      <c r="B19" s="33">
        <v>57639</v>
      </c>
    </row>
    <row r="20" spans="1:2">
      <c r="A20" s="33">
        <v>2421</v>
      </c>
      <c r="B20" s="33">
        <v>11013</v>
      </c>
    </row>
    <row r="21" spans="1:2">
      <c r="A21" s="33">
        <v>7767</v>
      </c>
      <c r="B21" s="33">
        <v>59378</v>
      </c>
    </row>
    <row r="22" spans="1:2">
      <c r="A22" s="33">
        <v>7565</v>
      </c>
      <c r="B22" s="33">
        <v>33705</v>
      </c>
    </row>
    <row r="23" spans="1:2">
      <c r="A23" s="33">
        <v>6439</v>
      </c>
      <c r="B23" s="33">
        <v>11828</v>
      </c>
    </row>
    <row r="24" spans="1:2">
      <c r="A24" s="33">
        <v>7218</v>
      </c>
      <c r="B24" s="33">
        <v>17909</v>
      </c>
    </row>
    <row r="25" spans="1:2">
      <c r="A25" s="33">
        <v>1017</v>
      </c>
      <c r="B25" s="33">
        <v>48356</v>
      </c>
    </row>
    <row r="26" spans="1:2">
      <c r="A26" s="33">
        <v>5206</v>
      </c>
      <c r="B26" s="33">
        <v>23109</v>
      </c>
    </row>
    <row r="27" spans="1:2">
      <c r="A27" s="33">
        <v>8485</v>
      </c>
      <c r="B27" s="33">
        <v>12023</v>
      </c>
    </row>
    <row r="28" spans="1:2">
      <c r="A28" s="33">
        <v>1369</v>
      </c>
      <c r="B28" s="33">
        <v>24537</v>
      </c>
    </row>
    <row r="29" spans="1:2">
      <c r="A29" s="33">
        <v>6642</v>
      </c>
      <c r="B29" s="33">
        <v>36661</v>
      </c>
    </row>
    <row r="30" spans="1:2">
      <c r="A30" s="33">
        <v>3592</v>
      </c>
      <c r="B30" s="33">
        <v>48659</v>
      </c>
    </row>
    <row r="31" spans="1:2">
      <c r="A31" s="33">
        <v>1367</v>
      </c>
      <c r="B31" s="33">
        <v>43848</v>
      </c>
    </row>
    <row r="32" spans="1:2">
      <c r="A32" s="33">
        <v>8200</v>
      </c>
      <c r="B32" s="33">
        <v>47804</v>
      </c>
    </row>
    <row r="33" spans="1:2">
      <c r="A33" s="33">
        <v>9254</v>
      </c>
      <c r="B33" s="33">
        <v>25379</v>
      </c>
    </row>
    <row r="34" spans="1:2">
      <c r="A34" s="33">
        <v>7471</v>
      </c>
      <c r="B34" s="33">
        <v>37766</v>
      </c>
    </row>
    <row r="35" spans="1:2">
      <c r="A35" s="33">
        <v>8518</v>
      </c>
      <c r="B35" s="33">
        <v>53590</v>
      </c>
    </row>
    <row r="36" spans="1:2">
      <c r="A36" s="33">
        <v>7260</v>
      </c>
      <c r="B36" s="33">
        <v>12563</v>
      </c>
    </row>
    <row r="37" spans="1:2">
      <c r="A37" s="33">
        <v>3805</v>
      </c>
      <c r="B37" s="33">
        <v>46060</v>
      </c>
    </row>
    <row r="38" spans="1:2">
      <c r="A38" s="33">
        <v>3420</v>
      </c>
      <c r="B38" s="33">
        <v>39197</v>
      </c>
    </row>
    <row r="39" spans="1:2">
      <c r="A39" s="33">
        <v>1290</v>
      </c>
      <c r="B39" s="33">
        <v>13586</v>
      </c>
    </row>
    <row r="40" spans="1:2">
      <c r="A40" s="33">
        <v>9125</v>
      </c>
      <c r="B40" s="33">
        <v>26087</v>
      </c>
    </row>
    <row r="41" spans="1:2">
      <c r="A41" s="33">
        <v>6631</v>
      </c>
      <c r="B41" s="33">
        <v>58868</v>
      </c>
    </row>
    <row r="42" spans="1:2">
      <c r="A42" s="33">
        <v>8723</v>
      </c>
      <c r="B42" s="33">
        <v>33225</v>
      </c>
    </row>
    <row r="43" spans="1:2">
      <c r="A43" s="33">
        <v>7509</v>
      </c>
      <c r="B43" s="33">
        <v>39750</v>
      </c>
    </row>
    <row r="44" spans="1:2">
      <c r="A44" s="33">
        <v>9044</v>
      </c>
      <c r="B44" s="33">
        <v>16643</v>
      </c>
    </row>
    <row r="45" spans="1:2">
      <c r="A45" s="33">
        <v>6272</v>
      </c>
      <c r="B45" s="33">
        <v>37523</v>
      </c>
    </row>
    <row r="46" spans="1:2">
      <c r="A46" s="33">
        <v>6434</v>
      </c>
      <c r="B46" s="33">
        <v>46727</v>
      </c>
    </row>
    <row r="47" spans="1:2">
      <c r="A47" s="33">
        <v>7849</v>
      </c>
      <c r="B47" s="33">
        <v>21005</v>
      </c>
    </row>
    <row r="48" spans="1:2">
      <c r="A48" s="33">
        <v>5491</v>
      </c>
      <c r="B48" s="33">
        <v>53543</v>
      </c>
    </row>
    <row r="49" spans="1:2">
      <c r="A49" s="33">
        <v>1512</v>
      </c>
      <c r="B49" s="33">
        <v>10161</v>
      </c>
    </row>
    <row r="50" spans="1:2">
      <c r="A50" s="33">
        <v>893</v>
      </c>
      <c r="B50" s="33">
        <v>26029</v>
      </c>
    </row>
    <row r="51" spans="1:2" hidden="1">
      <c r="A51"/>
      <c r="B51">
        <v>59745</v>
      </c>
    </row>
    <row r="52" spans="1:2" hidden="1">
      <c r="A52"/>
      <c r="B52">
        <v>24226</v>
      </c>
    </row>
    <row r="53" spans="1:2" hidden="1">
      <c r="A53"/>
      <c r="B53">
        <v>38731</v>
      </c>
    </row>
    <row r="54" spans="1:2" hidden="1">
      <c r="A54"/>
      <c r="B54">
        <v>53922</v>
      </c>
    </row>
    <row r="55" spans="1:2" hidden="1">
      <c r="A55"/>
      <c r="B55">
        <v>54848</v>
      </c>
    </row>
    <row r="56" spans="1:2" hidden="1">
      <c r="A56"/>
      <c r="B56">
        <v>13390</v>
      </c>
    </row>
    <row r="57" spans="1:2" hidden="1">
      <c r="A57"/>
      <c r="B57">
        <v>15997</v>
      </c>
    </row>
    <row r="58" spans="1:2" hidden="1">
      <c r="A58"/>
      <c r="B58">
        <v>22693</v>
      </c>
    </row>
    <row r="59" spans="1:2" hidden="1">
      <c r="A59"/>
      <c r="B59">
        <v>59815</v>
      </c>
    </row>
    <row r="60" spans="1:2" hidden="1">
      <c r="A60"/>
      <c r="B60">
        <v>52092</v>
      </c>
    </row>
    <row r="61" spans="1:2" hidden="1">
      <c r="A61"/>
      <c r="B61">
        <v>10541</v>
      </c>
    </row>
    <row r="62" spans="1:2" hidden="1">
      <c r="A62"/>
      <c r="B62">
        <v>31817</v>
      </c>
    </row>
    <row r="63" spans="1:2" hidden="1">
      <c r="A63"/>
      <c r="B63">
        <v>47861</v>
      </c>
    </row>
    <row r="64" spans="1:2" hidden="1">
      <c r="A64"/>
      <c r="B64">
        <v>23428</v>
      </c>
    </row>
    <row r="65" spans="1:2" hidden="1">
      <c r="A65"/>
      <c r="B65">
        <v>53934</v>
      </c>
    </row>
    <row r="66" spans="1:2" hidden="1">
      <c r="A66"/>
      <c r="B66">
        <v>58831</v>
      </c>
    </row>
    <row r="67" spans="1:2" hidden="1">
      <c r="A67"/>
      <c r="B67">
        <v>20258</v>
      </c>
    </row>
    <row r="68" spans="1:2" hidden="1">
      <c r="A68"/>
      <c r="B68">
        <v>26044</v>
      </c>
    </row>
    <row r="69" spans="1:2" hidden="1">
      <c r="A69"/>
      <c r="B69">
        <v>39411</v>
      </c>
    </row>
    <row r="70" spans="1:2" hidden="1">
      <c r="A70"/>
      <c r="B70">
        <v>15469</v>
      </c>
    </row>
    <row r="71" spans="1:2" hidden="1">
      <c r="A71"/>
      <c r="B71">
        <v>38854</v>
      </c>
    </row>
    <row r="72" spans="1:2" hidden="1">
      <c r="A72"/>
      <c r="B72">
        <v>16256</v>
      </c>
    </row>
    <row r="73" spans="1:2" hidden="1">
      <c r="A73"/>
      <c r="B73">
        <v>20720</v>
      </c>
    </row>
    <row r="74" spans="1:2" hidden="1">
      <c r="A74"/>
      <c r="B74">
        <v>43937</v>
      </c>
    </row>
    <row r="75" spans="1:2" hidden="1">
      <c r="A75"/>
      <c r="B75">
        <v>43598</v>
      </c>
    </row>
    <row r="76" spans="1:2" hidden="1">
      <c r="A76"/>
      <c r="B76">
        <v>11651</v>
      </c>
    </row>
    <row r="77" spans="1:2" hidden="1">
      <c r="A77"/>
      <c r="B77">
        <v>29194</v>
      </c>
    </row>
    <row r="78" spans="1:2" hidden="1">
      <c r="A78"/>
      <c r="B78">
        <v>35051</v>
      </c>
    </row>
    <row r="79" spans="1:2" hidden="1">
      <c r="A79"/>
      <c r="B79">
        <v>37386</v>
      </c>
    </row>
    <row r="80" spans="1:2" hidden="1">
      <c r="A80"/>
      <c r="B80">
        <v>19518</v>
      </c>
    </row>
    <row r="81" spans="1:2" hidden="1">
      <c r="A81"/>
      <c r="B81">
        <v>56026</v>
      </c>
    </row>
    <row r="82" spans="1:2" hidden="1">
      <c r="A82"/>
      <c r="B82">
        <v>26184</v>
      </c>
    </row>
    <row r="83" spans="1:2" hidden="1">
      <c r="A83"/>
      <c r="B83">
        <v>43787</v>
      </c>
    </row>
    <row r="84" spans="1:2" hidden="1">
      <c r="A84"/>
      <c r="B84">
        <v>31621</v>
      </c>
    </row>
    <row r="85" spans="1:2" hidden="1">
      <c r="A85"/>
      <c r="B85">
        <v>20028</v>
      </c>
    </row>
    <row r="86" spans="1:2" hidden="1">
      <c r="A86"/>
      <c r="B86">
        <v>22448</v>
      </c>
    </row>
    <row r="87" spans="1:2" hidden="1">
      <c r="A87"/>
      <c r="B87">
        <v>55253</v>
      </c>
    </row>
    <row r="88" spans="1:2" hidden="1">
      <c r="A88"/>
      <c r="B88">
        <v>44051</v>
      </c>
    </row>
    <row r="89" spans="1:2" hidden="1">
      <c r="A89"/>
      <c r="B89">
        <v>59811</v>
      </c>
    </row>
    <row r="90" spans="1:2" hidden="1">
      <c r="A90"/>
      <c r="B90">
        <v>40447</v>
      </c>
    </row>
    <row r="91" spans="1:2" hidden="1">
      <c r="A91"/>
      <c r="B91">
        <v>28394</v>
      </c>
    </row>
    <row r="92" spans="1:2" hidden="1">
      <c r="A92"/>
      <c r="B92">
        <v>44501</v>
      </c>
    </row>
    <row r="93" spans="1:2" hidden="1">
      <c r="A93"/>
      <c r="B93">
        <v>40254</v>
      </c>
    </row>
    <row r="94" spans="1:2" hidden="1">
      <c r="A94"/>
      <c r="B94">
        <v>28509</v>
      </c>
    </row>
    <row r="95" spans="1:2" hidden="1">
      <c r="A95"/>
      <c r="B95">
        <v>58998</v>
      </c>
    </row>
    <row r="96" spans="1:2" hidden="1">
      <c r="A96"/>
      <c r="B96">
        <v>24472</v>
      </c>
    </row>
    <row r="97" spans="1:2" hidden="1">
      <c r="A97"/>
      <c r="B97">
        <v>55657</v>
      </c>
    </row>
    <row r="98" spans="1:2" hidden="1">
      <c r="A98"/>
      <c r="B98">
        <v>13471</v>
      </c>
    </row>
    <row r="99" spans="1:2" hidden="1">
      <c r="A99"/>
      <c r="B99">
        <v>51796</v>
      </c>
    </row>
    <row r="100" spans="1:2" hidden="1">
      <c r="A100"/>
      <c r="B100">
        <v>40268</v>
      </c>
    </row>
    <row r="101" spans="1:2" hidden="1">
      <c r="A101"/>
      <c r="B101">
        <v>18329</v>
      </c>
    </row>
    <row r="102" spans="1:2" hidden="1">
      <c r="A102"/>
      <c r="B102">
        <v>44865</v>
      </c>
    </row>
    <row r="103" spans="1:2" hidden="1">
      <c r="A103"/>
      <c r="B103">
        <v>56850</v>
      </c>
    </row>
    <row r="104" spans="1:2" hidden="1">
      <c r="A104"/>
      <c r="B104">
        <v>56698</v>
      </c>
    </row>
    <row r="105" spans="1:2" hidden="1">
      <c r="A105"/>
      <c r="B105">
        <v>38272</v>
      </c>
    </row>
    <row r="106" spans="1:2" hidden="1">
      <c r="A106"/>
      <c r="B106">
        <v>52845</v>
      </c>
    </row>
    <row r="107" spans="1:2" hidden="1">
      <c r="A107"/>
      <c r="B107">
        <v>16397</v>
      </c>
    </row>
    <row r="108" spans="1:2" hidden="1">
      <c r="A108"/>
      <c r="B108">
        <v>42373</v>
      </c>
    </row>
    <row r="109" spans="1:2" hidden="1">
      <c r="A109"/>
      <c r="B109">
        <v>45525</v>
      </c>
    </row>
    <row r="110" spans="1:2" hidden="1">
      <c r="A110"/>
      <c r="B110">
        <v>34570</v>
      </c>
    </row>
    <row r="111" spans="1:2" hidden="1">
      <c r="A111"/>
      <c r="B111">
        <v>28284</v>
      </c>
    </row>
    <row r="112" spans="1:2" hidden="1">
      <c r="A112"/>
      <c r="B112">
        <v>28994</v>
      </c>
    </row>
    <row r="113" spans="1:2" hidden="1">
      <c r="A113"/>
      <c r="B113">
        <v>33284</v>
      </c>
    </row>
    <row r="114" spans="1:2" hidden="1">
      <c r="A114"/>
      <c r="B114">
        <v>27833</v>
      </c>
    </row>
    <row r="115" spans="1:2" hidden="1">
      <c r="A115"/>
      <c r="B115">
        <v>35122</v>
      </c>
    </row>
    <row r="116" spans="1:2" hidden="1">
      <c r="A116"/>
      <c r="B116">
        <v>15017</v>
      </c>
    </row>
    <row r="117" spans="1:2" hidden="1">
      <c r="A117"/>
      <c r="B117">
        <v>26370</v>
      </c>
    </row>
    <row r="118" spans="1:2" hidden="1">
      <c r="A118"/>
      <c r="B118">
        <v>39252</v>
      </c>
    </row>
    <row r="119" spans="1:2" hidden="1">
      <c r="A119"/>
      <c r="B119">
        <v>17999</v>
      </c>
    </row>
    <row r="120" spans="1:2" hidden="1">
      <c r="A120"/>
      <c r="B120">
        <v>32436</v>
      </c>
    </row>
    <row r="121" spans="1:2" hidden="1">
      <c r="A121"/>
      <c r="B121">
        <v>52963</v>
      </c>
    </row>
    <row r="122" spans="1:2" hidden="1">
      <c r="A122"/>
      <c r="B122">
        <v>12096</v>
      </c>
    </row>
    <row r="123" spans="1:2" hidden="1">
      <c r="A123"/>
      <c r="B123">
        <v>58201</v>
      </c>
    </row>
    <row r="124" spans="1:2" hidden="1">
      <c r="A124"/>
      <c r="B124">
        <v>35279</v>
      </c>
    </row>
    <row r="125" spans="1:2" hidden="1">
      <c r="A125"/>
      <c r="B125">
        <v>53363</v>
      </c>
    </row>
    <row r="126" spans="1:2" hidden="1">
      <c r="A126"/>
      <c r="B126">
        <v>58709</v>
      </c>
    </row>
    <row r="127" spans="1:2" hidden="1">
      <c r="A127"/>
      <c r="B127">
        <v>36201</v>
      </c>
    </row>
    <row r="128" spans="1:2" hidden="1">
      <c r="A128"/>
      <c r="B128">
        <v>29715</v>
      </c>
    </row>
    <row r="129" spans="1:2" hidden="1">
      <c r="A129"/>
      <c r="B129">
        <v>39309</v>
      </c>
    </row>
    <row r="130" spans="1:2" hidden="1">
      <c r="A130"/>
      <c r="B130">
        <v>25078</v>
      </c>
    </row>
    <row r="131" spans="1:2" hidden="1">
      <c r="A131"/>
      <c r="B131">
        <v>15105</v>
      </c>
    </row>
    <row r="132" spans="1:2" hidden="1">
      <c r="A132"/>
      <c r="B132">
        <v>39312</v>
      </c>
    </row>
    <row r="133" spans="1:2" hidden="1">
      <c r="A133"/>
      <c r="B133">
        <v>12839</v>
      </c>
    </row>
    <row r="134" spans="1:2" hidden="1">
      <c r="A134"/>
      <c r="B134">
        <v>13384</v>
      </c>
    </row>
    <row r="135" spans="1:2" hidden="1">
      <c r="A135"/>
      <c r="B135">
        <v>53619</v>
      </c>
    </row>
    <row r="136" spans="1:2" hidden="1">
      <c r="A136"/>
      <c r="B136">
        <v>52821</v>
      </c>
    </row>
    <row r="137" spans="1:2" hidden="1">
      <c r="A137"/>
      <c r="B137">
        <v>23493</v>
      </c>
    </row>
    <row r="138" spans="1:2" hidden="1">
      <c r="A138"/>
      <c r="B138">
        <v>27069</v>
      </c>
    </row>
    <row r="139" spans="1:2" hidden="1">
      <c r="A139"/>
      <c r="B139">
        <v>56907</v>
      </c>
    </row>
    <row r="140" spans="1:2" hidden="1">
      <c r="A140"/>
      <c r="B140">
        <v>17531</v>
      </c>
    </row>
    <row r="141" spans="1:2" hidden="1">
      <c r="A141"/>
      <c r="B141">
        <v>47051</v>
      </c>
    </row>
    <row r="142" spans="1:2" hidden="1">
      <c r="A142"/>
      <c r="B142">
        <v>17736</v>
      </c>
    </row>
    <row r="143" spans="1:2" hidden="1">
      <c r="A143"/>
      <c r="B143">
        <v>17710</v>
      </c>
    </row>
    <row r="144" spans="1:2" hidden="1">
      <c r="A144"/>
      <c r="B144">
        <v>11619</v>
      </c>
    </row>
    <row r="145" spans="1:2" hidden="1">
      <c r="A145"/>
      <c r="B145">
        <v>23975</v>
      </c>
    </row>
    <row r="146" spans="1:2" hidden="1">
      <c r="A146"/>
      <c r="B146">
        <v>55603</v>
      </c>
    </row>
    <row r="147" spans="1:2" hidden="1">
      <c r="A147"/>
      <c r="B147">
        <v>33252</v>
      </c>
    </row>
    <row r="148" spans="1:2" hidden="1">
      <c r="A148"/>
      <c r="B148">
        <v>25261</v>
      </c>
    </row>
    <row r="149" spans="1:2" hidden="1">
      <c r="A149"/>
      <c r="B149">
        <v>11431</v>
      </c>
    </row>
    <row r="150" spans="1:2" hidden="1">
      <c r="A150"/>
      <c r="B150">
        <v>19067</v>
      </c>
    </row>
    <row r="151" spans="1:2" hidden="1">
      <c r="A151"/>
      <c r="B151">
        <v>47481</v>
      </c>
    </row>
    <row r="152" spans="1:2" hidden="1">
      <c r="A152"/>
      <c r="B152">
        <v>37037</v>
      </c>
    </row>
    <row r="153" spans="1:2" hidden="1">
      <c r="A153"/>
      <c r="B153">
        <v>19557</v>
      </c>
    </row>
    <row r="154" spans="1:2" hidden="1">
      <c r="A154"/>
      <c r="B154">
        <v>19435</v>
      </c>
    </row>
    <row r="155" spans="1:2" hidden="1">
      <c r="A155"/>
      <c r="B155">
        <v>47766</v>
      </c>
    </row>
    <row r="156" spans="1:2" hidden="1">
      <c r="A156"/>
      <c r="B156">
        <v>10162</v>
      </c>
    </row>
    <row r="157" spans="1:2" hidden="1">
      <c r="A157"/>
      <c r="B157">
        <v>44742</v>
      </c>
    </row>
    <row r="158" spans="1:2" hidden="1">
      <c r="A158"/>
      <c r="B158">
        <v>29675</v>
      </c>
    </row>
    <row r="159" spans="1:2" hidden="1">
      <c r="A159"/>
      <c r="B159">
        <v>18461</v>
      </c>
    </row>
    <row r="160" spans="1:2" hidden="1">
      <c r="A160"/>
      <c r="B160">
        <v>27015</v>
      </c>
    </row>
    <row r="161" spans="1:2" hidden="1">
      <c r="A161"/>
      <c r="B161">
        <v>42591</v>
      </c>
    </row>
    <row r="162" spans="1:2" hidden="1">
      <c r="A162"/>
      <c r="B162">
        <v>38047</v>
      </c>
    </row>
    <row r="163" spans="1:2" hidden="1">
      <c r="A163"/>
      <c r="B163">
        <v>44782</v>
      </c>
    </row>
    <row r="164" spans="1:2" hidden="1">
      <c r="A164"/>
      <c r="B164">
        <v>19833</v>
      </c>
    </row>
    <row r="165" spans="1:2" hidden="1">
      <c r="A165"/>
      <c r="B165">
        <v>17896</v>
      </c>
    </row>
    <row r="166" spans="1:2" hidden="1">
      <c r="A166"/>
      <c r="B166">
        <v>42972</v>
      </c>
    </row>
    <row r="167" spans="1:2" hidden="1">
      <c r="A167"/>
      <c r="B167">
        <v>59733</v>
      </c>
    </row>
    <row r="168" spans="1:2" hidden="1">
      <c r="A168"/>
      <c r="B168">
        <v>51800</v>
      </c>
    </row>
    <row r="169" spans="1:2" hidden="1">
      <c r="A169"/>
      <c r="B169">
        <v>40508</v>
      </c>
    </row>
    <row r="170" spans="1:2" hidden="1">
      <c r="A170"/>
      <c r="B170">
        <v>15347</v>
      </c>
    </row>
    <row r="171" spans="1:2" hidden="1">
      <c r="A171"/>
      <c r="B171">
        <v>40314</v>
      </c>
    </row>
    <row r="172" spans="1:2" hidden="1">
      <c r="A172"/>
      <c r="B172">
        <v>12643</v>
      </c>
    </row>
    <row r="173" spans="1:2" hidden="1">
      <c r="A173"/>
      <c r="B173">
        <v>50785</v>
      </c>
    </row>
    <row r="174" spans="1:2" hidden="1">
      <c r="A174"/>
      <c r="B174">
        <v>28681</v>
      </c>
    </row>
    <row r="175" spans="1:2" hidden="1">
      <c r="A175"/>
      <c r="B175">
        <v>48328</v>
      </c>
    </row>
    <row r="176" spans="1:2" hidden="1">
      <c r="A176"/>
      <c r="B176">
        <v>25892</v>
      </c>
    </row>
    <row r="177" spans="1:2" hidden="1">
      <c r="A177"/>
      <c r="B177">
        <v>57299</v>
      </c>
    </row>
    <row r="178" spans="1:2" hidden="1">
      <c r="A178"/>
      <c r="B178">
        <v>27073</v>
      </c>
    </row>
    <row r="179" spans="1:2" hidden="1">
      <c r="A179"/>
      <c r="B179">
        <v>46768</v>
      </c>
    </row>
    <row r="180" spans="1:2" hidden="1">
      <c r="A180"/>
      <c r="B180">
        <v>40682</v>
      </c>
    </row>
    <row r="181" spans="1:2" hidden="1">
      <c r="A181"/>
      <c r="B181">
        <v>42262</v>
      </c>
    </row>
    <row r="182" spans="1:2" hidden="1">
      <c r="A182"/>
      <c r="B182">
        <v>41358</v>
      </c>
    </row>
    <row r="183" spans="1:2" hidden="1">
      <c r="A183"/>
      <c r="B183">
        <v>24289</v>
      </c>
    </row>
    <row r="184" spans="1:2" hidden="1">
      <c r="A184"/>
      <c r="B184">
        <v>59823</v>
      </c>
    </row>
    <row r="185" spans="1:2" hidden="1">
      <c r="A185"/>
      <c r="B185">
        <v>17927</v>
      </c>
    </row>
    <row r="186" spans="1:2" hidden="1">
      <c r="A186"/>
      <c r="B186">
        <v>58330</v>
      </c>
    </row>
    <row r="187" spans="1:2" hidden="1">
      <c r="A187"/>
      <c r="B187">
        <v>11171</v>
      </c>
    </row>
    <row r="188" spans="1:2" hidden="1">
      <c r="A188"/>
      <c r="B188">
        <v>21918</v>
      </c>
    </row>
    <row r="189" spans="1:2" hidden="1">
      <c r="A189"/>
      <c r="B189">
        <v>51903</v>
      </c>
    </row>
    <row r="190" spans="1:2" hidden="1">
      <c r="A190"/>
      <c r="B190">
        <v>49110</v>
      </c>
    </row>
    <row r="191" spans="1:2" hidden="1">
      <c r="A191"/>
      <c r="B191">
        <v>21929</v>
      </c>
    </row>
    <row r="192" spans="1:2" hidden="1">
      <c r="A192"/>
      <c r="B192">
        <v>12539</v>
      </c>
    </row>
    <row r="193" spans="1:2" hidden="1">
      <c r="A193"/>
      <c r="B193">
        <v>46727</v>
      </c>
    </row>
    <row r="194" spans="1:2" hidden="1">
      <c r="A194"/>
      <c r="B194">
        <v>55951</v>
      </c>
    </row>
    <row r="195" spans="1:2" hidden="1">
      <c r="A195"/>
      <c r="B195">
        <v>32669</v>
      </c>
    </row>
    <row r="196" spans="1:2" hidden="1">
      <c r="A196"/>
      <c r="B196">
        <v>15432</v>
      </c>
    </row>
    <row r="197" spans="1:2" hidden="1">
      <c r="A197"/>
      <c r="B197">
        <v>30644</v>
      </c>
    </row>
    <row r="198" spans="1:2" hidden="1">
      <c r="A198"/>
      <c r="B198">
        <v>28745</v>
      </c>
    </row>
    <row r="199" spans="1:2" hidden="1">
      <c r="A199"/>
      <c r="B199">
        <v>38228</v>
      </c>
    </row>
    <row r="200" spans="1:2" hidden="1">
      <c r="A200"/>
      <c r="B200">
        <v>44521</v>
      </c>
    </row>
    <row r="201" spans="1:2">
      <c r="A201" s="33">
        <v>2805</v>
      </c>
      <c r="B201" s="33">
        <v>41703</v>
      </c>
    </row>
  </sheetData>
  <autoFilter ref="A1:A201" xr:uid="{2FA7C7C9-0D2C-43E9-AD5D-E60CF5A2767C}">
    <filterColumn colId="0">
      <customFilters>
        <customFilter operator="notEqual" val=" "/>
      </customFilters>
    </filterColumn>
  </autoFilter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AEE27-40C8-427E-82E1-510542F1E705}">
  <dimension ref="A3:J28"/>
  <sheetViews>
    <sheetView workbookViewId="0">
      <selection activeCell="E5" sqref="E5"/>
    </sheetView>
  </sheetViews>
  <sheetFormatPr defaultRowHeight="14.4"/>
  <cols>
    <col min="1" max="1" width="19.5546875" bestFit="1" customWidth="1"/>
    <col min="2" max="2" width="15.5546875" bestFit="1" customWidth="1"/>
    <col min="3" max="3" width="8.21875" bestFit="1" customWidth="1"/>
    <col min="4" max="4" width="6.88671875" bestFit="1" customWidth="1"/>
    <col min="5" max="5" width="8.44140625" bestFit="1" customWidth="1"/>
    <col min="6" max="6" width="10.77734375" bestFit="1" customWidth="1"/>
  </cols>
  <sheetData>
    <row r="3" spans="1:5">
      <c r="A3" s="11" t="s">
        <v>333</v>
      </c>
      <c r="B3" s="11" t="s">
        <v>332</v>
      </c>
      <c r="C3" s="11"/>
      <c r="D3" s="11"/>
      <c r="E3" s="11"/>
    </row>
    <row r="4" spans="1:5">
      <c r="A4" s="11" t="s">
        <v>314</v>
      </c>
      <c r="B4" s="11" t="s">
        <v>28</v>
      </c>
      <c r="C4" s="11" t="s">
        <v>23</v>
      </c>
      <c r="D4" s="11" t="s">
        <v>48</v>
      </c>
      <c r="E4" s="11" t="s">
        <v>17</v>
      </c>
    </row>
    <row r="5" spans="1:5">
      <c r="A5" s="12">
        <v>45446</v>
      </c>
      <c r="B5" s="13">
        <v>3777</v>
      </c>
      <c r="C5" s="13">
        <v>0</v>
      </c>
      <c r="D5" s="13">
        <v>7215</v>
      </c>
      <c r="E5" s="13">
        <v>16106</v>
      </c>
    </row>
    <row r="6" spans="1:5">
      <c r="A6" s="12">
        <v>45523</v>
      </c>
      <c r="B6" s="13">
        <v>11925</v>
      </c>
      <c r="C6" s="13">
        <v>0</v>
      </c>
      <c r="D6" s="13">
        <v>0</v>
      </c>
      <c r="E6" s="13">
        <v>9361</v>
      </c>
    </row>
    <row r="7" spans="1:5">
      <c r="A7" s="12">
        <v>45495</v>
      </c>
      <c r="B7" s="13">
        <v>0</v>
      </c>
      <c r="C7" s="13">
        <v>11792</v>
      </c>
      <c r="D7" s="13">
        <v>1367</v>
      </c>
      <c r="E7" s="13">
        <v>9254</v>
      </c>
    </row>
    <row r="8" spans="1:5">
      <c r="A8" s="12">
        <v>45509</v>
      </c>
      <c r="B8" s="13">
        <v>3420</v>
      </c>
      <c r="C8" s="13">
        <v>6631</v>
      </c>
      <c r="D8" s="13">
        <v>1290</v>
      </c>
      <c r="E8" s="13">
        <v>9125</v>
      </c>
    </row>
    <row r="9" spans="1:5">
      <c r="A9" s="12">
        <v>45516</v>
      </c>
      <c r="B9" s="13">
        <v>7509</v>
      </c>
      <c r="C9" s="13">
        <v>0</v>
      </c>
      <c r="D9" s="13">
        <v>14995</v>
      </c>
      <c r="E9" s="13">
        <v>9044</v>
      </c>
    </row>
    <row r="10" spans="1:5">
      <c r="A10" s="12">
        <v>45467</v>
      </c>
      <c r="B10" s="13">
        <v>5520</v>
      </c>
      <c r="C10" s="13">
        <v>0</v>
      </c>
      <c r="D10" s="13">
        <v>8737</v>
      </c>
      <c r="E10" s="13">
        <v>7442</v>
      </c>
    </row>
    <row r="11" spans="1:5">
      <c r="A11" s="12">
        <v>45502</v>
      </c>
      <c r="B11" s="13">
        <v>0</v>
      </c>
      <c r="C11" s="13">
        <v>15989</v>
      </c>
      <c r="D11" s="13">
        <v>3805</v>
      </c>
      <c r="E11" s="13">
        <v>7260</v>
      </c>
    </row>
    <row r="12" spans="1:5">
      <c r="A12" s="12">
        <v>45453</v>
      </c>
      <c r="B12" s="13">
        <v>5442</v>
      </c>
      <c r="C12" s="13">
        <v>0</v>
      </c>
      <c r="D12" s="13">
        <v>11015</v>
      </c>
      <c r="E12" s="13">
        <v>7151</v>
      </c>
    </row>
    <row r="13" spans="1:5">
      <c r="A13" s="12">
        <v>45488</v>
      </c>
      <c r="B13" s="13">
        <v>11848</v>
      </c>
      <c r="C13" s="13">
        <v>0</v>
      </c>
      <c r="D13" s="13">
        <v>8485</v>
      </c>
      <c r="E13" s="13">
        <v>1369</v>
      </c>
    </row>
    <row r="14" spans="1:5">
      <c r="A14" s="12">
        <v>45481</v>
      </c>
      <c r="B14" s="13">
        <v>0</v>
      </c>
      <c r="C14" s="13">
        <v>14674</v>
      </c>
      <c r="D14" s="13">
        <v>7565</v>
      </c>
      <c r="E14" s="13">
        <v>0</v>
      </c>
    </row>
    <row r="26" spans="6:10" ht="18">
      <c r="F26" s="15"/>
      <c r="G26" s="15"/>
      <c r="H26" s="15"/>
      <c r="I26" s="14"/>
      <c r="J26" s="14"/>
    </row>
    <row r="27" spans="6:10" ht="18">
      <c r="F27" s="15"/>
      <c r="G27" s="15"/>
      <c r="H27" s="15"/>
      <c r="I27" s="14"/>
      <c r="J27" s="14"/>
    </row>
    <row r="28" spans="6:10" ht="18">
      <c r="F28" s="15"/>
      <c r="G28" s="15"/>
      <c r="H28" s="15"/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7E0E3-3B00-4A02-9513-9AEF4A1CC4E3}">
  <dimension ref="A2:E7"/>
  <sheetViews>
    <sheetView workbookViewId="0">
      <selection activeCell="C15" sqref="C15"/>
    </sheetView>
  </sheetViews>
  <sheetFormatPr defaultRowHeight="14.4"/>
  <cols>
    <col min="1" max="1" width="18.6640625" customWidth="1"/>
    <col min="2" max="2" width="20.33203125" customWidth="1"/>
    <col min="3" max="3" width="24.6640625" customWidth="1"/>
  </cols>
  <sheetData>
    <row r="2" spans="1:5" ht="21">
      <c r="A2" s="16" t="s">
        <v>334</v>
      </c>
      <c r="B2" s="16" t="s">
        <v>1</v>
      </c>
      <c r="C2" s="17" t="s">
        <v>335</v>
      </c>
    </row>
    <row r="3" spans="1:5" ht="21">
      <c r="A3" s="18">
        <v>45446</v>
      </c>
      <c r="B3" s="16" t="s">
        <v>17</v>
      </c>
      <c r="C3" s="17">
        <v>16106</v>
      </c>
    </row>
    <row r="4" spans="1:5">
      <c r="A4" s="19"/>
      <c r="B4" s="19"/>
      <c r="C4" s="19"/>
    </row>
    <row r="7" spans="1:5" ht="23.4">
      <c r="A7" s="20" t="s">
        <v>336</v>
      </c>
      <c r="B7" s="20"/>
      <c r="C7" s="20"/>
      <c r="D7" s="20"/>
      <c r="E7" s="2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D0916-507D-4C7D-95CA-4DFE9A0B703D}">
  <sheetPr filterMode="1"/>
  <dimension ref="A1:C202"/>
  <sheetViews>
    <sheetView workbookViewId="0">
      <selection activeCell="E19" sqref="E19"/>
    </sheetView>
  </sheetViews>
  <sheetFormatPr defaultRowHeight="14.4"/>
  <cols>
    <col min="1" max="1" width="17.5546875" style="28" customWidth="1"/>
    <col min="2" max="2" width="16.21875" style="28" customWidth="1"/>
    <col min="3" max="3" width="17.44140625" style="28" customWidth="1"/>
  </cols>
  <sheetData>
    <row r="1" spans="1:3">
      <c r="A1" s="32" t="s">
        <v>314</v>
      </c>
      <c r="B1" s="32" t="s">
        <v>317</v>
      </c>
      <c r="C1" s="32" t="s">
        <v>337</v>
      </c>
    </row>
    <row r="2" spans="1:3">
      <c r="A2" s="29">
        <v>45446</v>
      </c>
      <c r="B2" s="30">
        <v>5442</v>
      </c>
      <c r="C2" s="28">
        <f>IF(COUNT(B2:B4)&lt;3,"",AVERAGE(B2:B4))</f>
        <v>6816.333333333333</v>
      </c>
    </row>
    <row r="3" spans="1:3">
      <c r="A3" s="29">
        <v>45446</v>
      </c>
      <c r="B3" s="30">
        <v>7442</v>
      </c>
      <c r="C3" s="28">
        <f>IF(COUNT(B3:B5)&lt;3,"",AVERAGE(B3:B5))</f>
        <v>7422.333333333333</v>
      </c>
    </row>
    <row r="4" spans="1:3">
      <c r="A4" s="29">
        <v>45446</v>
      </c>
      <c r="B4" s="30">
        <v>7565</v>
      </c>
      <c r="C4" s="28">
        <f>IF(COUNT(B4:B6)&lt;3,"",AVERAGE(B4:B6))</f>
        <v>5378</v>
      </c>
    </row>
    <row r="5" spans="1:3">
      <c r="A5" s="29">
        <v>45446</v>
      </c>
      <c r="B5" s="30">
        <v>7260</v>
      </c>
      <c r="C5" s="28">
        <f>IF(COUNT(B5:B7)&lt;3,"",AVERAGE(B5:B7))</f>
        <v>5002.666666666667</v>
      </c>
    </row>
    <row r="6" spans="1:3">
      <c r="A6" s="29">
        <v>45453</v>
      </c>
      <c r="B6" s="30">
        <v>1309</v>
      </c>
      <c r="C6" s="28">
        <f>IF(COUNT(B6:B8)&lt;3,"",AVERAGE(B6:B8))</f>
        <v>5667.333333333333</v>
      </c>
    </row>
    <row r="7" spans="1:3">
      <c r="A7" s="31">
        <v>45453</v>
      </c>
      <c r="B7" s="28">
        <v>6439</v>
      </c>
      <c r="C7" s="28">
        <f>IF(COUNT(B7:B9)&lt;3,"",AVERAGE(B7:B9))</f>
        <v>6371</v>
      </c>
    </row>
    <row r="8" spans="1:3">
      <c r="A8" s="31">
        <v>45453</v>
      </c>
      <c r="B8" s="28">
        <v>9254</v>
      </c>
      <c r="C8" s="28">
        <f>IF(COUNT(B8:B10)&lt;3,"",AVERAGE(B8:B10))</f>
        <v>6630.666666666667</v>
      </c>
    </row>
    <row r="9" spans="1:3">
      <c r="A9" s="29">
        <v>45453</v>
      </c>
      <c r="B9" s="30">
        <v>3420</v>
      </c>
      <c r="C9" s="28">
        <f>IF(COUNT(B9:B11)&lt;3,"",AVERAGE(B9:B11))</f>
        <v>4743.333333333333</v>
      </c>
    </row>
    <row r="10" spans="1:3">
      <c r="A10" s="29">
        <v>45460</v>
      </c>
      <c r="B10" s="30">
        <v>7218</v>
      </c>
      <c r="C10" s="28">
        <f>IF(COUNT(B10:B12)&lt;3,"",AVERAGE(B10:B12))</f>
        <v>6645</v>
      </c>
    </row>
    <row r="11" spans="1:3">
      <c r="A11" s="29">
        <v>45460</v>
      </c>
      <c r="B11" s="30">
        <v>3592</v>
      </c>
      <c r="C11" s="28">
        <f>IF(COUNT(B11:B13)&lt;3,"",AVERAGE(B11:B13))</f>
        <v>6742</v>
      </c>
    </row>
    <row r="12" spans="1:3">
      <c r="A12" s="29">
        <v>45460</v>
      </c>
      <c r="B12" s="30">
        <v>9125</v>
      </c>
      <c r="C12" s="28">
        <f>IF(COUNT(B12:B14)&lt;3,"",AVERAGE(B12:B14))</f>
        <v>7952.666666666667</v>
      </c>
    </row>
    <row r="13" spans="1:3">
      <c r="A13" s="31">
        <v>45460</v>
      </c>
      <c r="B13" s="28">
        <v>7509</v>
      </c>
      <c r="C13" s="28">
        <f>IF(COUNT(B13:B15)&lt;3,"",AVERAGE(B13:B15))</f>
        <v>5718</v>
      </c>
    </row>
    <row r="14" spans="1:3">
      <c r="A14" s="31">
        <v>45467</v>
      </c>
      <c r="B14" s="28">
        <v>7224</v>
      </c>
      <c r="C14" s="28">
        <f>IF(COUNT(B14:B16)&lt;3,"",AVERAGE(B14:B16))</f>
        <v>3670.6666666666665</v>
      </c>
    </row>
    <row r="15" spans="1:3">
      <c r="A15" s="29">
        <v>45467</v>
      </c>
      <c r="B15" s="30">
        <v>2421</v>
      </c>
      <c r="C15" s="28">
        <f>IF(COUNT(B15:B17)&lt;3,"",AVERAGE(B15:B17))</f>
        <v>4277.333333333333</v>
      </c>
    </row>
    <row r="16" spans="1:3">
      <c r="A16" s="31">
        <v>45467</v>
      </c>
      <c r="B16" s="28">
        <v>1367</v>
      </c>
      <c r="C16" s="28">
        <f>IF(COUNT(B16:B18)&lt;3,"",AVERAGE(B16:B18))</f>
        <v>5946.666666666667</v>
      </c>
    </row>
    <row r="17" spans="1:3">
      <c r="A17" s="29">
        <v>45467</v>
      </c>
      <c r="B17" s="30">
        <v>9044</v>
      </c>
      <c r="C17" s="28">
        <f>IF(COUNT(B17:B19)&lt;3,"",AVERAGE(B17:B19))</f>
        <v>7422.666666666667</v>
      </c>
    </row>
    <row r="18" spans="1:3">
      <c r="A18" s="31">
        <v>45474</v>
      </c>
      <c r="B18" s="28">
        <v>7429</v>
      </c>
      <c r="C18" s="28">
        <f>IF(COUNT(B18:B20)&lt;3,"",AVERAGE(B18:B20))</f>
        <v>7315.666666666667</v>
      </c>
    </row>
    <row r="19" spans="1:3">
      <c r="A19" s="29">
        <v>45474</v>
      </c>
      <c r="B19" s="30">
        <v>5795</v>
      </c>
      <c r="C19" s="28">
        <f>IF(COUNT(B19:B21)&lt;3,"",AVERAGE(B19:B21))</f>
        <v>6669.666666666667</v>
      </c>
    </row>
    <row r="20" spans="1:3">
      <c r="A20" s="29">
        <v>45474</v>
      </c>
      <c r="B20" s="30">
        <v>8723</v>
      </c>
      <c r="C20" s="28">
        <f>IF(COUNT(B20:B22)&lt;3,"",AVERAGE(B20:B22))</f>
        <v>7044.666666666667</v>
      </c>
    </row>
    <row r="21" spans="1:3">
      <c r="A21" s="29">
        <v>45474</v>
      </c>
      <c r="B21" s="30">
        <v>5491</v>
      </c>
      <c r="C21" s="28">
        <f>IF(COUNT(B21:B23)&lt;3,"",AVERAGE(B21:B23))</f>
        <v>6726</v>
      </c>
    </row>
    <row r="22" spans="1:3">
      <c r="A22" s="31">
        <v>45481</v>
      </c>
      <c r="B22" s="28">
        <v>6920</v>
      </c>
      <c r="C22" s="28">
        <f>IF(COUNT(B22:B24)&lt;3,"",AVERAGE(B22:B24))</f>
        <v>7724</v>
      </c>
    </row>
    <row r="23" spans="1:3">
      <c r="A23" s="31">
        <v>45481</v>
      </c>
      <c r="B23" s="28">
        <v>7767</v>
      </c>
      <c r="C23" s="28">
        <f>IF(COUNT(B23:B25)&lt;3,"",AVERAGE(B23:B25))</f>
        <v>5715</v>
      </c>
    </row>
    <row r="24" spans="1:3">
      <c r="A24" s="31">
        <v>45481</v>
      </c>
      <c r="B24" s="28">
        <v>8485</v>
      </c>
      <c r="C24" s="28">
        <f>IF(COUNT(B24:B26)&lt;3,"",AVERAGE(B24:B26))</f>
        <v>4321.333333333333</v>
      </c>
    </row>
    <row r="25" spans="1:3">
      <c r="A25" s="29">
        <v>45481</v>
      </c>
      <c r="B25" s="30">
        <v>893</v>
      </c>
      <c r="C25" s="28">
        <f>IF(COUNT(B25:B27)&lt;3,"",AVERAGE(B25:B27))</f>
        <v>1832</v>
      </c>
    </row>
    <row r="26" spans="1:3">
      <c r="A26" s="29">
        <v>45488</v>
      </c>
      <c r="B26" s="30">
        <v>3586</v>
      </c>
      <c r="C26" s="28">
        <f>IF(COUNT(B26:B28)&lt;3,"",AVERAGE(B26:B28))</f>
        <v>4024.6666666666665</v>
      </c>
    </row>
    <row r="27" spans="1:3">
      <c r="A27" s="31">
        <v>45488</v>
      </c>
      <c r="B27" s="28">
        <v>1017</v>
      </c>
      <c r="C27" s="28">
        <f>IF(COUNT(B27:B29)&lt;3,"",AVERAGE(B27:B29))</f>
        <v>4974</v>
      </c>
    </row>
    <row r="28" spans="1:3">
      <c r="A28" s="29">
        <v>45488</v>
      </c>
      <c r="B28" s="30">
        <v>7471</v>
      </c>
      <c r="C28" s="28">
        <f>IF(COUNT(B28:B30)&lt;3,"",AVERAGE(B28:B30))</f>
        <v>5894</v>
      </c>
    </row>
    <row r="29" spans="1:3">
      <c r="A29" s="29">
        <v>45488</v>
      </c>
      <c r="B29" s="30">
        <v>6434</v>
      </c>
      <c r="C29" s="28">
        <f>IF(COUNT(B29:B31)&lt;3,"",AVERAGE(B29:B31))</f>
        <v>3984</v>
      </c>
    </row>
    <row r="30" spans="1:3">
      <c r="A30" s="29">
        <v>45495</v>
      </c>
      <c r="B30" s="30">
        <v>3777</v>
      </c>
      <c r="C30" s="28">
        <f>IF(COUNT(B30:B32)&lt;3,"",AVERAGE(B30:B32))</f>
        <v>3107.6666666666665</v>
      </c>
    </row>
    <row r="31" spans="1:3">
      <c r="A31" s="29">
        <v>45495</v>
      </c>
      <c r="B31" s="30">
        <v>1741</v>
      </c>
      <c r="C31" s="28">
        <f>IF(COUNT(B31:B33)&lt;3,"",AVERAGE(B31:B33))</f>
        <v>4465</v>
      </c>
    </row>
    <row r="32" spans="1:3">
      <c r="A32" s="31">
        <v>45495</v>
      </c>
      <c r="B32" s="28">
        <v>3805</v>
      </c>
      <c r="C32" s="28">
        <f>IF(COUNT(B32:B34)&lt;3,"",AVERAGE(B32:B34))</f>
        <v>6268.333333333333</v>
      </c>
    </row>
    <row r="33" spans="1:3">
      <c r="A33" s="31">
        <v>45495</v>
      </c>
      <c r="B33" s="28">
        <v>7849</v>
      </c>
      <c r="C33" s="28">
        <f>IF(COUNT(B33:B35)&lt;3,"",AVERAGE(B33:B35))</f>
        <v>6840</v>
      </c>
    </row>
    <row r="34" spans="1:3">
      <c r="A34" s="31">
        <v>45502</v>
      </c>
      <c r="B34" s="28">
        <v>7151</v>
      </c>
      <c r="C34" s="28">
        <f>IF(COUNT(B34:B36)&lt;3,"",AVERAGE(B34:B36))</f>
        <v>7010.666666666667</v>
      </c>
    </row>
    <row r="35" spans="1:3">
      <c r="A35" s="31">
        <v>45502</v>
      </c>
      <c r="B35" s="28">
        <v>5520</v>
      </c>
      <c r="C35" s="28">
        <f>IF(COUNT(B35:B37)&lt;3,"",AVERAGE(B35:B37))</f>
        <v>7466.333333333333</v>
      </c>
    </row>
    <row r="36" spans="1:3">
      <c r="A36" s="31">
        <v>45502</v>
      </c>
      <c r="B36" s="28">
        <v>8361</v>
      </c>
      <c r="C36" s="28">
        <f>IF(COUNT(B36:B38)&lt;3,"",AVERAGE(B36:B38))</f>
        <v>8031.333333333333</v>
      </c>
    </row>
    <row r="37" spans="1:3">
      <c r="A37" s="31">
        <v>45502</v>
      </c>
      <c r="B37" s="28">
        <v>8518</v>
      </c>
      <c r="C37" s="28">
        <f>IF(COUNT(B37:B39)&lt;3,"",AVERAGE(B37:B39))</f>
        <v>6979.666666666667</v>
      </c>
    </row>
    <row r="38" spans="1:3">
      <c r="A38" s="31">
        <v>45509</v>
      </c>
      <c r="B38" s="28">
        <v>7215</v>
      </c>
      <c r="C38" s="28">
        <f>IF(COUNT(B38:B40)&lt;3,"",AVERAGE(B38:B40))</f>
        <v>4570.333333333333</v>
      </c>
    </row>
    <row r="39" spans="1:3">
      <c r="A39" s="29">
        <v>45509</v>
      </c>
      <c r="B39" s="30">
        <v>5206</v>
      </c>
      <c r="C39" s="28">
        <f>IF(COUNT(B39:B41)&lt;3,"",AVERAGE(B39:B41))</f>
        <v>2669.3333333333335</v>
      </c>
    </row>
    <row r="40" spans="1:3">
      <c r="A40" s="31">
        <v>45509</v>
      </c>
      <c r="B40" s="28">
        <v>1290</v>
      </c>
      <c r="C40" s="28">
        <f>IF(COUNT(B40:B42)&lt;3,"",AVERAGE(B40:B42))</f>
        <v>3418</v>
      </c>
    </row>
    <row r="41" spans="1:3">
      <c r="A41" s="31">
        <v>45509</v>
      </c>
      <c r="B41" s="28">
        <v>1512</v>
      </c>
      <c r="C41" s="28">
        <f>IF(COUNT(B41:B43)&lt;3,"",AVERAGE(B41:B43))</f>
        <v>5872.666666666667</v>
      </c>
    </row>
    <row r="42" spans="1:3">
      <c r="A42" s="29">
        <v>45516</v>
      </c>
      <c r="B42" s="30">
        <v>7452</v>
      </c>
      <c r="C42" s="28">
        <f>IF(COUNT(B42:B44)&lt;3,"",AVERAGE(B42:B44))</f>
        <v>5873</v>
      </c>
    </row>
    <row r="43" spans="1:3">
      <c r="A43" s="31">
        <v>45516</v>
      </c>
      <c r="B43" s="28">
        <v>8654</v>
      </c>
      <c r="C43" s="28">
        <f>IF(COUNT(B43:B45)&lt;3,"",AVERAGE(B43:B45))</f>
        <v>5603</v>
      </c>
    </row>
    <row r="44" spans="1:3">
      <c r="A44" s="29">
        <v>45516</v>
      </c>
      <c r="B44" s="30">
        <v>1513</v>
      </c>
      <c r="C44" s="28">
        <f>IF(COUNT(B44:B46)&lt;3,"",AVERAGE(B44:B46))</f>
        <v>3789.3333333333335</v>
      </c>
    </row>
    <row r="45" spans="1:3">
      <c r="A45" s="31">
        <v>45516</v>
      </c>
      <c r="B45" s="28">
        <v>6642</v>
      </c>
      <c r="C45" s="28">
        <f>IF(COUNT(B45:B47)&lt;3,"",AVERAGE(B45:B47))</f>
        <v>3741.3333333333335</v>
      </c>
    </row>
    <row r="46" spans="1:3">
      <c r="A46" s="31">
        <v>45523</v>
      </c>
      <c r="B46" s="28">
        <v>3213</v>
      </c>
      <c r="C46" s="28">
        <f>IF(COUNT(B46:B48)&lt;3,"",AVERAGE(B46:B48))</f>
        <v>4260.666666666667</v>
      </c>
    </row>
    <row r="47" spans="1:3">
      <c r="A47" s="29">
        <v>45523</v>
      </c>
      <c r="B47" s="30">
        <v>1369</v>
      </c>
      <c r="C47" s="28">
        <f>IF(COUNT(B47:B49)&lt;3,"",AVERAGE(B47:B49))</f>
        <v>5280.333333333333</v>
      </c>
    </row>
    <row r="48" spans="1:3" hidden="1">
      <c r="A48" s="26">
        <v>45523</v>
      </c>
      <c r="B48" s="27">
        <v>8200</v>
      </c>
      <c r="C48" t="str">
        <f t="shared" ref="C3:C66" si="0">IF(COUNT(B48:B50)&lt;3,"",AVERAGE(B48:B50))</f>
        <v/>
      </c>
    </row>
    <row r="49" spans="1:3" hidden="1">
      <c r="A49" s="23">
        <v>45523</v>
      </c>
      <c r="B49" s="21">
        <v>6272</v>
      </c>
      <c r="C49" t="str">
        <f t="shared" si="0"/>
        <v/>
      </c>
    </row>
    <row r="50" spans="1:3" hidden="1">
      <c r="A50" s="23">
        <v>45530</v>
      </c>
      <c r="B50" s="24"/>
      <c r="C50" t="str">
        <f t="shared" si="0"/>
        <v/>
      </c>
    </row>
    <row r="51" spans="1:3" hidden="1">
      <c r="A51" s="22">
        <v>45530</v>
      </c>
      <c r="B51"/>
      <c r="C51" t="str">
        <f t="shared" si="0"/>
        <v/>
      </c>
    </row>
    <row r="52" spans="1:3" hidden="1">
      <c r="A52" s="23">
        <v>45530</v>
      </c>
      <c r="B52"/>
      <c r="C52" t="str">
        <f t="shared" si="0"/>
        <v/>
      </c>
    </row>
    <row r="53" spans="1:3" hidden="1">
      <c r="A53" s="22">
        <v>45530</v>
      </c>
      <c r="B53"/>
      <c r="C53" t="str">
        <f t="shared" si="0"/>
        <v/>
      </c>
    </row>
    <row r="54" spans="1:3" hidden="1">
      <c r="A54" s="23">
        <v>45537</v>
      </c>
      <c r="B54"/>
      <c r="C54" t="str">
        <f t="shared" si="0"/>
        <v/>
      </c>
    </row>
    <row r="55" spans="1:3" hidden="1">
      <c r="A55" s="22">
        <v>45537</v>
      </c>
      <c r="B55"/>
      <c r="C55" t="str">
        <f t="shared" si="0"/>
        <v/>
      </c>
    </row>
    <row r="56" spans="1:3" hidden="1">
      <c r="A56" s="23">
        <v>45537</v>
      </c>
      <c r="B56"/>
      <c r="C56" t="str">
        <f t="shared" si="0"/>
        <v/>
      </c>
    </row>
    <row r="57" spans="1:3" hidden="1">
      <c r="A57" s="22">
        <v>45537</v>
      </c>
      <c r="B57"/>
      <c r="C57" t="str">
        <f t="shared" si="0"/>
        <v/>
      </c>
    </row>
    <row r="58" spans="1:3" hidden="1">
      <c r="A58" s="23">
        <v>45544</v>
      </c>
      <c r="B58"/>
      <c r="C58" t="str">
        <f t="shared" si="0"/>
        <v/>
      </c>
    </row>
    <row r="59" spans="1:3" hidden="1">
      <c r="A59" s="22">
        <v>45544</v>
      </c>
      <c r="B59"/>
      <c r="C59" t="str">
        <f t="shared" si="0"/>
        <v/>
      </c>
    </row>
    <row r="60" spans="1:3" hidden="1">
      <c r="A60" s="23">
        <v>45544</v>
      </c>
      <c r="B60"/>
      <c r="C60" t="str">
        <f t="shared" si="0"/>
        <v/>
      </c>
    </row>
    <row r="61" spans="1:3" hidden="1">
      <c r="A61" s="22">
        <v>45544</v>
      </c>
      <c r="B61"/>
      <c r="C61" t="str">
        <f t="shared" si="0"/>
        <v/>
      </c>
    </row>
    <row r="62" spans="1:3" hidden="1">
      <c r="A62" s="23">
        <v>45551</v>
      </c>
      <c r="B62"/>
      <c r="C62" t="str">
        <f t="shared" si="0"/>
        <v/>
      </c>
    </row>
    <row r="63" spans="1:3" hidden="1">
      <c r="A63" s="22">
        <v>45551</v>
      </c>
      <c r="B63"/>
      <c r="C63" t="str">
        <f t="shared" si="0"/>
        <v/>
      </c>
    </row>
    <row r="64" spans="1:3" hidden="1">
      <c r="A64" s="23">
        <v>45551</v>
      </c>
      <c r="B64"/>
      <c r="C64" t="str">
        <f t="shared" si="0"/>
        <v/>
      </c>
    </row>
    <row r="65" spans="1:3" hidden="1">
      <c r="A65" s="22">
        <v>45551</v>
      </c>
      <c r="B65"/>
      <c r="C65" t="str">
        <f t="shared" si="0"/>
        <v/>
      </c>
    </row>
    <row r="66" spans="1:3" hidden="1">
      <c r="A66" s="23">
        <v>45558</v>
      </c>
      <c r="B66"/>
      <c r="C66" t="str">
        <f t="shared" si="0"/>
        <v/>
      </c>
    </row>
    <row r="67" spans="1:3" hidden="1">
      <c r="A67" s="22">
        <v>45558</v>
      </c>
      <c r="B67"/>
      <c r="C67" t="str">
        <f t="shared" ref="C67:C130" si="1">IF(COUNT(B67:B69)&lt;3,"",AVERAGE(B67:B69))</f>
        <v/>
      </c>
    </row>
    <row r="68" spans="1:3" hidden="1">
      <c r="A68" s="23">
        <v>45558</v>
      </c>
      <c r="B68"/>
      <c r="C68" t="str">
        <f t="shared" si="1"/>
        <v/>
      </c>
    </row>
    <row r="69" spans="1:3" hidden="1">
      <c r="A69" s="22">
        <v>45558</v>
      </c>
      <c r="B69"/>
      <c r="C69" t="str">
        <f t="shared" si="1"/>
        <v/>
      </c>
    </row>
    <row r="70" spans="1:3" hidden="1">
      <c r="A70" s="23">
        <v>45565</v>
      </c>
      <c r="B70"/>
      <c r="C70" t="str">
        <f t="shared" si="1"/>
        <v/>
      </c>
    </row>
    <row r="71" spans="1:3" hidden="1">
      <c r="A71" s="22">
        <v>45565</v>
      </c>
      <c r="B71"/>
      <c r="C71" t="str">
        <f t="shared" si="1"/>
        <v/>
      </c>
    </row>
    <row r="72" spans="1:3" hidden="1">
      <c r="A72" s="23">
        <v>45565</v>
      </c>
      <c r="B72"/>
      <c r="C72" t="str">
        <f t="shared" si="1"/>
        <v/>
      </c>
    </row>
    <row r="73" spans="1:3" hidden="1">
      <c r="A73" s="22">
        <v>45565</v>
      </c>
      <c r="B73"/>
      <c r="C73" t="str">
        <f t="shared" si="1"/>
        <v/>
      </c>
    </row>
    <row r="74" spans="1:3" hidden="1">
      <c r="A74" s="23">
        <v>45572</v>
      </c>
      <c r="B74"/>
      <c r="C74" t="str">
        <f t="shared" si="1"/>
        <v/>
      </c>
    </row>
    <row r="75" spans="1:3" hidden="1">
      <c r="A75" s="22">
        <v>45572</v>
      </c>
      <c r="B75"/>
      <c r="C75" t="str">
        <f t="shared" si="1"/>
        <v/>
      </c>
    </row>
    <row r="76" spans="1:3" hidden="1">
      <c r="A76" s="23">
        <v>45572</v>
      </c>
      <c r="B76"/>
      <c r="C76" t="str">
        <f t="shared" si="1"/>
        <v/>
      </c>
    </row>
    <row r="77" spans="1:3" hidden="1">
      <c r="A77" s="22">
        <v>45572</v>
      </c>
      <c r="B77"/>
      <c r="C77" t="str">
        <f t="shared" si="1"/>
        <v/>
      </c>
    </row>
    <row r="78" spans="1:3" hidden="1">
      <c r="A78" s="23">
        <v>45579</v>
      </c>
      <c r="B78"/>
      <c r="C78" t="str">
        <f t="shared" si="1"/>
        <v/>
      </c>
    </row>
    <row r="79" spans="1:3" hidden="1">
      <c r="A79" s="22">
        <v>45579</v>
      </c>
      <c r="B79"/>
      <c r="C79" t="str">
        <f t="shared" si="1"/>
        <v/>
      </c>
    </row>
    <row r="80" spans="1:3" hidden="1">
      <c r="A80" s="23">
        <v>45579</v>
      </c>
      <c r="B80"/>
      <c r="C80" t="str">
        <f t="shared" si="1"/>
        <v/>
      </c>
    </row>
    <row r="81" spans="1:3" hidden="1">
      <c r="A81" s="22">
        <v>45579</v>
      </c>
      <c r="B81"/>
      <c r="C81" t="str">
        <f t="shared" si="1"/>
        <v/>
      </c>
    </row>
    <row r="82" spans="1:3" hidden="1">
      <c r="A82" s="23">
        <v>45586</v>
      </c>
      <c r="B82"/>
      <c r="C82" t="str">
        <f t="shared" si="1"/>
        <v/>
      </c>
    </row>
    <row r="83" spans="1:3" hidden="1">
      <c r="A83" s="22">
        <v>45586</v>
      </c>
      <c r="B83"/>
      <c r="C83" t="str">
        <f t="shared" si="1"/>
        <v/>
      </c>
    </row>
    <row r="84" spans="1:3" hidden="1">
      <c r="A84" s="23">
        <v>45586</v>
      </c>
      <c r="B84"/>
      <c r="C84" t="str">
        <f t="shared" si="1"/>
        <v/>
      </c>
    </row>
    <row r="85" spans="1:3" hidden="1">
      <c r="A85" s="22">
        <v>45586</v>
      </c>
      <c r="B85"/>
      <c r="C85" t="str">
        <f t="shared" si="1"/>
        <v/>
      </c>
    </row>
    <row r="86" spans="1:3" hidden="1">
      <c r="A86" s="23">
        <v>45593</v>
      </c>
      <c r="B86"/>
      <c r="C86" t="str">
        <f t="shared" si="1"/>
        <v/>
      </c>
    </row>
    <row r="87" spans="1:3" hidden="1">
      <c r="A87" s="22">
        <v>45593</v>
      </c>
      <c r="B87"/>
      <c r="C87" t="str">
        <f t="shared" si="1"/>
        <v/>
      </c>
    </row>
    <row r="88" spans="1:3" hidden="1">
      <c r="A88" s="23">
        <v>45593</v>
      </c>
      <c r="B88"/>
      <c r="C88" t="str">
        <f t="shared" si="1"/>
        <v/>
      </c>
    </row>
    <row r="89" spans="1:3" hidden="1">
      <c r="A89" s="22">
        <v>45593</v>
      </c>
      <c r="B89"/>
      <c r="C89" t="str">
        <f t="shared" si="1"/>
        <v/>
      </c>
    </row>
    <row r="90" spans="1:3" hidden="1">
      <c r="A90" s="23">
        <v>45600</v>
      </c>
      <c r="B90"/>
      <c r="C90" t="str">
        <f t="shared" si="1"/>
        <v/>
      </c>
    </row>
    <row r="91" spans="1:3" hidden="1">
      <c r="A91" s="22">
        <v>45600</v>
      </c>
      <c r="B91"/>
      <c r="C91" t="str">
        <f t="shared" si="1"/>
        <v/>
      </c>
    </row>
    <row r="92" spans="1:3" hidden="1">
      <c r="A92" s="23">
        <v>45600</v>
      </c>
      <c r="B92"/>
      <c r="C92" t="str">
        <f t="shared" si="1"/>
        <v/>
      </c>
    </row>
    <row r="93" spans="1:3" hidden="1">
      <c r="A93" s="22">
        <v>45600</v>
      </c>
      <c r="B93"/>
      <c r="C93" t="str">
        <f t="shared" si="1"/>
        <v/>
      </c>
    </row>
    <row r="94" spans="1:3" hidden="1">
      <c r="A94" s="23">
        <v>45607</v>
      </c>
      <c r="B94"/>
      <c r="C94" t="str">
        <f t="shared" si="1"/>
        <v/>
      </c>
    </row>
    <row r="95" spans="1:3" hidden="1">
      <c r="A95" s="22">
        <v>45607</v>
      </c>
      <c r="B95"/>
      <c r="C95" t="str">
        <f t="shared" si="1"/>
        <v/>
      </c>
    </row>
    <row r="96" spans="1:3" hidden="1">
      <c r="A96" s="23">
        <v>45607</v>
      </c>
      <c r="B96"/>
      <c r="C96" t="str">
        <f t="shared" si="1"/>
        <v/>
      </c>
    </row>
    <row r="97" spans="1:3" hidden="1">
      <c r="A97" s="22">
        <v>45607</v>
      </c>
      <c r="B97"/>
      <c r="C97" t="str">
        <f t="shared" si="1"/>
        <v/>
      </c>
    </row>
    <row r="98" spans="1:3" hidden="1">
      <c r="A98" s="23">
        <v>45614</v>
      </c>
      <c r="B98"/>
      <c r="C98" t="str">
        <f t="shared" si="1"/>
        <v/>
      </c>
    </row>
    <row r="99" spans="1:3" hidden="1">
      <c r="A99" s="22">
        <v>45614</v>
      </c>
      <c r="B99"/>
      <c r="C99" t="str">
        <f t="shared" si="1"/>
        <v/>
      </c>
    </row>
    <row r="100" spans="1:3" hidden="1">
      <c r="A100" s="23">
        <v>45614</v>
      </c>
      <c r="B100"/>
      <c r="C100" t="str">
        <f t="shared" si="1"/>
        <v/>
      </c>
    </row>
    <row r="101" spans="1:3" hidden="1">
      <c r="A101" s="22">
        <v>45614</v>
      </c>
      <c r="B101"/>
      <c r="C101" t="str">
        <f t="shared" si="1"/>
        <v/>
      </c>
    </row>
    <row r="102" spans="1:3" hidden="1">
      <c r="A102" s="23">
        <v>45621</v>
      </c>
      <c r="B102"/>
      <c r="C102" t="str">
        <f t="shared" si="1"/>
        <v/>
      </c>
    </row>
    <row r="103" spans="1:3" hidden="1">
      <c r="A103" s="22">
        <v>45621</v>
      </c>
      <c r="B103"/>
      <c r="C103" t="str">
        <f t="shared" si="1"/>
        <v/>
      </c>
    </row>
    <row r="104" spans="1:3" hidden="1">
      <c r="A104" s="23">
        <v>45621</v>
      </c>
      <c r="B104"/>
      <c r="C104" t="str">
        <f t="shared" si="1"/>
        <v/>
      </c>
    </row>
    <row r="105" spans="1:3" hidden="1">
      <c r="A105" s="22">
        <v>45621</v>
      </c>
      <c r="B105"/>
      <c r="C105" t="str">
        <f t="shared" si="1"/>
        <v/>
      </c>
    </row>
    <row r="106" spans="1:3" hidden="1">
      <c r="A106" s="23">
        <v>45628</v>
      </c>
      <c r="B106"/>
      <c r="C106" t="str">
        <f t="shared" si="1"/>
        <v/>
      </c>
    </row>
    <row r="107" spans="1:3" hidden="1">
      <c r="A107" s="22">
        <v>45628</v>
      </c>
      <c r="B107"/>
      <c r="C107" t="str">
        <f t="shared" si="1"/>
        <v/>
      </c>
    </row>
    <row r="108" spans="1:3" hidden="1">
      <c r="A108" s="23">
        <v>45628</v>
      </c>
      <c r="B108"/>
      <c r="C108" t="str">
        <f t="shared" si="1"/>
        <v/>
      </c>
    </row>
    <row r="109" spans="1:3" hidden="1">
      <c r="A109" s="22">
        <v>45628</v>
      </c>
      <c r="B109"/>
      <c r="C109" t="str">
        <f t="shared" si="1"/>
        <v/>
      </c>
    </row>
    <row r="110" spans="1:3" hidden="1">
      <c r="A110" s="23">
        <v>45635</v>
      </c>
      <c r="B110"/>
      <c r="C110" t="str">
        <f t="shared" si="1"/>
        <v/>
      </c>
    </row>
    <row r="111" spans="1:3" hidden="1">
      <c r="A111" s="22">
        <v>45635</v>
      </c>
      <c r="B111"/>
      <c r="C111" t="str">
        <f t="shared" si="1"/>
        <v/>
      </c>
    </row>
    <row r="112" spans="1:3" hidden="1">
      <c r="A112" s="23">
        <v>45635</v>
      </c>
      <c r="B112"/>
      <c r="C112" t="str">
        <f t="shared" si="1"/>
        <v/>
      </c>
    </row>
    <row r="113" spans="1:3" hidden="1">
      <c r="A113" s="22">
        <v>45635</v>
      </c>
      <c r="B113"/>
      <c r="C113" t="str">
        <f t="shared" si="1"/>
        <v/>
      </c>
    </row>
    <row r="114" spans="1:3" hidden="1">
      <c r="A114" s="23">
        <v>45642</v>
      </c>
      <c r="B114"/>
      <c r="C114" t="str">
        <f t="shared" si="1"/>
        <v/>
      </c>
    </row>
    <row r="115" spans="1:3" hidden="1">
      <c r="A115" s="22">
        <v>45642</v>
      </c>
      <c r="B115"/>
      <c r="C115" t="str">
        <f t="shared" si="1"/>
        <v/>
      </c>
    </row>
    <row r="116" spans="1:3" hidden="1">
      <c r="A116" s="23">
        <v>45642</v>
      </c>
      <c r="B116"/>
      <c r="C116" t="str">
        <f t="shared" si="1"/>
        <v/>
      </c>
    </row>
    <row r="117" spans="1:3" hidden="1">
      <c r="A117" s="22">
        <v>45642</v>
      </c>
      <c r="B117"/>
      <c r="C117" t="str">
        <f t="shared" si="1"/>
        <v/>
      </c>
    </row>
    <row r="118" spans="1:3" hidden="1">
      <c r="A118" s="23">
        <v>45649</v>
      </c>
      <c r="B118"/>
      <c r="C118" t="str">
        <f t="shared" si="1"/>
        <v/>
      </c>
    </row>
    <row r="119" spans="1:3" hidden="1">
      <c r="A119" s="22">
        <v>45649</v>
      </c>
      <c r="B119"/>
      <c r="C119" t="str">
        <f t="shared" si="1"/>
        <v/>
      </c>
    </row>
    <row r="120" spans="1:3" hidden="1">
      <c r="A120" s="23">
        <v>45649</v>
      </c>
      <c r="B120"/>
      <c r="C120" t="str">
        <f t="shared" si="1"/>
        <v/>
      </c>
    </row>
    <row r="121" spans="1:3" hidden="1">
      <c r="A121" s="22">
        <v>45649</v>
      </c>
      <c r="B121"/>
      <c r="C121" t="str">
        <f t="shared" si="1"/>
        <v/>
      </c>
    </row>
    <row r="122" spans="1:3" hidden="1">
      <c r="A122" s="23">
        <v>45656</v>
      </c>
      <c r="B122"/>
      <c r="C122" t="str">
        <f t="shared" si="1"/>
        <v/>
      </c>
    </row>
    <row r="123" spans="1:3" hidden="1">
      <c r="A123" s="22">
        <v>45656</v>
      </c>
      <c r="B123"/>
      <c r="C123" t="str">
        <f t="shared" si="1"/>
        <v/>
      </c>
    </row>
    <row r="124" spans="1:3" hidden="1">
      <c r="A124" s="23">
        <v>45656</v>
      </c>
      <c r="B124"/>
      <c r="C124" t="str">
        <f t="shared" si="1"/>
        <v/>
      </c>
    </row>
    <row r="125" spans="1:3" hidden="1">
      <c r="A125" s="22">
        <v>45656</v>
      </c>
      <c r="B125"/>
      <c r="C125" t="str">
        <f t="shared" si="1"/>
        <v/>
      </c>
    </row>
    <row r="126" spans="1:3" hidden="1">
      <c r="A126" s="23">
        <v>45663</v>
      </c>
      <c r="B126"/>
      <c r="C126" t="str">
        <f t="shared" si="1"/>
        <v/>
      </c>
    </row>
    <row r="127" spans="1:3" hidden="1">
      <c r="A127" s="22">
        <v>45663</v>
      </c>
      <c r="B127"/>
      <c r="C127" t="str">
        <f t="shared" si="1"/>
        <v/>
      </c>
    </row>
    <row r="128" spans="1:3" hidden="1">
      <c r="A128" s="23">
        <v>45663</v>
      </c>
      <c r="B128"/>
      <c r="C128" t="str">
        <f t="shared" si="1"/>
        <v/>
      </c>
    </row>
    <row r="129" spans="1:3" hidden="1">
      <c r="A129" s="22">
        <v>45663</v>
      </c>
      <c r="B129"/>
      <c r="C129" t="str">
        <f t="shared" si="1"/>
        <v/>
      </c>
    </row>
    <row r="130" spans="1:3" hidden="1">
      <c r="A130" s="23">
        <v>45670</v>
      </c>
      <c r="B130"/>
      <c r="C130" t="str">
        <f t="shared" si="1"/>
        <v/>
      </c>
    </row>
    <row r="131" spans="1:3" hidden="1">
      <c r="A131" s="22">
        <v>45670</v>
      </c>
      <c r="B131"/>
      <c r="C131" t="str">
        <f t="shared" ref="C131:C194" si="2">IF(COUNT(B131:B133)&lt;3,"",AVERAGE(B131:B133))</f>
        <v/>
      </c>
    </row>
    <row r="132" spans="1:3" hidden="1">
      <c r="A132" s="23">
        <v>45670</v>
      </c>
      <c r="B132"/>
      <c r="C132" t="str">
        <f t="shared" si="2"/>
        <v/>
      </c>
    </row>
    <row r="133" spans="1:3" hidden="1">
      <c r="A133" s="22">
        <v>45670</v>
      </c>
      <c r="B133"/>
      <c r="C133" t="str">
        <f t="shared" si="2"/>
        <v/>
      </c>
    </row>
    <row r="134" spans="1:3" hidden="1">
      <c r="A134" s="23">
        <v>45677</v>
      </c>
      <c r="B134"/>
      <c r="C134" t="str">
        <f t="shared" si="2"/>
        <v/>
      </c>
    </row>
    <row r="135" spans="1:3" hidden="1">
      <c r="A135" s="22">
        <v>45677</v>
      </c>
      <c r="B135"/>
      <c r="C135" t="str">
        <f t="shared" si="2"/>
        <v/>
      </c>
    </row>
    <row r="136" spans="1:3" hidden="1">
      <c r="A136" s="23">
        <v>45677</v>
      </c>
      <c r="B136"/>
      <c r="C136" t="str">
        <f t="shared" si="2"/>
        <v/>
      </c>
    </row>
    <row r="137" spans="1:3" hidden="1">
      <c r="A137" s="22">
        <v>45677</v>
      </c>
      <c r="B137"/>
      <c r="C137" t="str">
        <f t="shared" si="2"/>
        <v/>
      </c>
    </row>
    <row r="138" spans="1:3" hidden="1">
      <c r="A138" s="23">
        <v>45684</v>
      </c>
      <c r="B138"/>
      <c r="C138" t="str">
        <f t="shared" si="2"/>
        <v/>
      </c>
    </row>
    <row r="139" spans="1:3" hidden="1">
      <c r="A139" s="22">
        <v>45684</v>
      </c>
      <c r="B139"/>
      <c r="C139" t="str">
        <f t="shared" si="2"/>
        <v/>
      </c>
    </row>
    <row r="140" spans="1:3" hidden="1">
      <c r="A140" s="23">
        <v>45684</v>
      </c>
      <c r="B140"/>
      <c r="C140" t="str">
        <f t="shared" si="2"/>
        <v/>
      </c>
    </row>
    <row r="141" spans="1:3" hidden="1">
      <c r="A141" s="22">
        <v>45684</v>
      </c>
      <c r="B141"/>
      <c r="C141" t="str">
        <f t="shared" si="2"/>
        <v/>
      </c>
    </row>
    <row r="142" spans="1:3" hidden="1">
      <c r="A142" s="23">
        <v>45691</v>
      </c>
      <c r="B142"/>
      <c r="C142" t="str">
        <f t="shared" si="2"/>
        <v/>
      </c>
    </row>
    <row r="143" spans="1:3" hidden="1">
      <c r="A143" s="22">
        <v>45691</v>
      </c>
      <c r="B143"/>
      <c r="C143" t="str">
        <f t="shared" si="2"/>
        <v/>
      </c>
    </row>
    <row r="144" spans="1:3" hidden="1">
      <c r="A144" s="23">
        <v>45691</v>
      </c>
      <c r="B144"/>
      <c r="C144" t="str">
        <f t="shared" si="2"/>
        <v/>
      </c>
    </row>
    <row r="145" spans="1:3" hidden="1">
      <c r="A145" s="22">
        <v>45691</v>
      </c>
      <c r="B145"/>
      <c r="C145" t="str">
        <f t="shared" si="2"/>
        <v/>
      </c>
    </row>
    <row r="146" spans="1:3" hidden="1">
      <c r="A146" s="23">
        <v>45698</v>
      </c>
      <c r="B146"/>
      <c r="C146" t="str">
        <f t="shared" si="2"/>
        <v/>
      </c>
    </row>
    <row r="147" spans="1:3" hidden="1">
      <c r="A147" s="22">
        <v>45698</v>
      </c>
      <c r="B147"/>
      <c r="C147" t="str">
        <f t="shared" si="2"/>
        <v/>
      </c>
    </row>
    <row r="148" spans="1:3" hidden="1">
      <c r="A148" s="23">
        <v>45698</v>
      </c>
      <c r="B148"/>
      <c r="C148" t="str">
        <f t="shared" si="2"/>
        <v/>
      </c>
    </row>
    <row r="149" spans="1:3" hidden="1">
      <c r="A149" s="22">
        <v>45698</v>
      </c>
      <c r="B149"/>
      <c r="C149" t="str">
        <f t="shared" si="2"/>
        <v/>
      </c>
    </row>
    <row r="150" spans="1:3" hidden="1">
      <c r="A150" s="23">
        <v>45705</v>
      </c>
      <c r="B150"/>
      <c r="C150" t="str">
        <f t="shared" si="2"/>
        <v/>
      </c>
    </row>
    <row r="151" spans="1:3" hidden="1">
      <c r="A151" s="22">
        <v>45705</v>
      </c>
      <c r="B151"/>
      <c r="C151" t="str">
        <f t="shared" si="2"/>
        <v/>
      </c>
    </row>
    <row r="152" spans="1:3" hidden="1">
      <c r="A152" s="23">
        <v>45705</v>
      </c>
      <c r="B152"/>
      <c r="C152" t="str">
        <f t="shared" si="2"/>
        <v/>
      </c>
    </row>
    <row r="153" spans="1:3" hidden="1">
      <c r="A153" s="22">
        <v>45705</v>
      </c>
      <c r="B153"/>
      <c r="C153" t="str">
        <f t="shared" si="2"/>
        <v/>
      </c>
    </row>
    <row r="154" spans="1:3" hidden="1">
      <c r="A154" s="23">
        <v>45712</v>
      </c>
      <c r="B154"/>
      <c r="C154" t="str">
        <f t="shared" si="2"/>
        <v/>
      </c>
    </row>
    <row r="155" spans="1:3" hidden="1">
      <c r="A155" s="22">
        <v>45712</v>
      </c>
      <c r="B155"/>
      <c r="C155" t="str">
        <f t="shared" si="2"/>
        <v/>
      </c>
    </row>
    <row r="156" spans="1:3" hidden="1">
      <c r="A156" s="23">
        <v>45712</v>
      </c>
      <c r="B156"/>
      <c r="C156" t="str">
        <f t="shared" si="2"/>
        <v/>
      </c>
    </row>
    <row r="157" spans="1:3" hidden="1">
      <c r="A157" s="22">
        <v>45712</v>
      </c>
      <c r="B157"/>
      <c r="C157" t="str">
        <f t="shared" si="2"/>
        <v/>
      </c>
    </row>
    <row r="158" spans="1:3" hidden="1">
      <c r="A158" s="23">
        <v>45719</v>
      </c>
      <c r="B158"/>
      <c r="C158" t="str">
        <f t="shared" si="2"/>
        <v/>
      </c>
    </row>
    <row r="159" spans="1:3" hidden="1">
      <c r="A159" s="22">
        <v>45719</v>
      </c>
      <c r="B159"/>
      <c r="C159" t="str">
        <f t="shared" si="2"/>
        <v/>
      </c>
    </row>
    <row r="160" spans="1:3" hidden="1">
      <c r="A160" s="23">
        <v>45719</v>
      </c>
      <c r="B160"/>
      <c r="C160" t="str">
        <f t="shared" si="2"/>
        <v/>
      </c>
    </row>
    <row r="161" spans="1:3" hidden="1">
      <c r="A161" s="22">
        <v>45719</v>
      </c>
      <c r="B161"/>
      <c r="C161" t="str">
        <f t="shared" si="2"/>
        <v/>
      </c>
    </row>
    <row r="162" spans="1:3" hidden="1">
      <c r="A162" s="23">
        <v>45726</v>
      </c>
      <c r="B162"/>
      <c r="C162" t="str">
        <f t="shared" si="2"/>
        <v/>
      </c>
    </row>
    <row r="163" spans="1:3" hidden="1">
      <c r="A163" s="22">
        <v>45726</v>
      </c>
      <c r="B163"/>
      <c r="C163" t="str">
        <f t="shared" si="2"/>
        <v/>
      </c>
    </row>
    <row r="164" spans="1:3" hidden="1">
      <c r="A164" s="23">
        <v>45726</v>
      </c>
      <c r="B164"/>
      <c r="C164" t="str">
        <f t="shared" si="2"/>
        <v/>
      </c>
    </row>
    <row r="165" spans="1:3" hidden="1">
      <c r="A165" s="22">
        <v>45726</v>
      </c>
      <c r="B165"/>
      <c r="C165" t="str">
        <f t="shared" si="2"/>
        <v/>
      </c>
    </row>
    <row r="166" spans="1:3" hidden="1">
      <c r="A166" s="23">
        <v>45733</v>
      </c>
      <c r="B166"/>
      <c r="C166" t="str">
        <f t="shared" si="2"/>
        <v/>
      </c>
    </row>
    <row r="167" spans="1:3" hidden="1">
      <c r="A167" s="22">
        <v>45733</v>
      </c>
      <c r="B167"/>
      <c r="C167" t="str">
        <f t="shared" si="2"/>
        <v/>
      </c>
    </row>
    <row r="168" spans="1:3" hidden="1">
      <c r="A168" s="23">
        <v>45733</v>
      </c>
      <c r="B168"/>
      <c r="C168" t="str">
        <f t="shared" si="2"/>
        <v/>
      </c>
    </row>
    <row r="169" spans="1:3" hidden="1">
      <c r="A169" s="22">
        <v>45733</v>
      </c>
      <c r="B169"/>
      <c r="C169" t="str">
        <f t="shared" si="2"/>
        <v/>
      </c>
    </row>
    <row r="170" spans="1:3" hidden="1">
      <c r="A170" s="23">
        <v>45740</v>
      </c>
      <c r="B170"/>
      <c r="C170" t="str">
        <f t="shared" si="2"/>
        <v/>
      </c>
    </row>
    <row r="171" spans="1:3" hidden="1">
      <c r="A171" s="22">
        <v>45740</v>
      </c>
      <c r="B171"/>
      <c r="C171" t="str">
        <f t="shared" si="2"/>
        <v/>
      </c>
    </row>
    <row r="172" spans="1:3" hidden="1">
      <c r="A172" s="23">
        <v>45740</v>
      </c>
      <c r="B172"/>
      <c r="C172" t="str">
        <f t="shared" si="2"/>
        <v/>
      </c>
    </row>
    <row r="173" spans="1:3" hidden="1">
      <c r="A173" s="22">
        <v>45740</v>
      </c>
      <c r="B173"/>
      <c r="C173" t="str">
        <f t="shared" si="2"/>
        <v/>
      </c>
    </row>
    <row r="174" spans="1:3" hidden="1">
      <c r="A174" s="23">
        <v>45747</v>
      </c>
      <c r="B174"/>
      <c r="C174" t="str">
        <f t="shared" si="2"/>
        <v/>
      </c>
    </row>
    <row r="175" spans="1:3" hidden="1">
      <c r="A175" s="22">
        <v>45747</v>
      </c>
      <c r="B175"/>
      <c r="C175" t="str">
        <f t="shared" si="2"/>
        <v/>
      </c>
    </row>
    <row r="176" spans="1:3" hidden="1">
      <c r="A176" s="23">
        <v>45747</v>
      </c>
      <c r="B176"/>
      <c r="C176" t="str">
        <f t="shared" si="2"/>
        <v/>
      </c>
    </row>
    <row r="177" spans="1:3" hidden="1">
      <c r="A177" s="22">
        <v>45747</v>
      </c>
      <c r="B177"/>
      <c r="C177" t="str">
        <f t="shared" si="2"/>
        <v/>
      </c>
    </row>
    <row r="178" spans="1:3" hidden="1">
      <c r="A178" s="23">
        <v>45754</v>
      </c>
      <c r="B178"/>
      <c r="C178" t="str">
        <f t="shared" si="2"/>
        <v/>
      </c>
    </row>
    <row r="179" spans="1:3" hidden="1">
      <c r="A179" s="22">
        <v>45754</v>
      </c>
      <c r="B179"/>
      <c r="C179" t="str">
        <f t="shared" si="2"/>
        <v/>
      </c>
    </row>
    <row r="180" spans="1:3" hidden="1">
      <c r="A180" s="23">
        <v>45754</v>
      </c>
      <c r="B180"/>
      <c r="C180" t="str">
        <f t="shared" si="2"/>
        <v/>
      </c>
    </row>
    <row r="181" spans="1:3" hidden="1">
      <c r="A181" s="22">
        <v>45754</v>
      </c>
      <c r="B181"/>
      <c r="C181" t="str">
        <f t="shared" si="2"/>
        <v/>
      </c>
    </row>
    <row r="182" spans="1:3" hidden="1">
      <c r="A182" s="23">
        <v>45761</v>
      </c>
      <c r="B182"/>
      <c r="C182" t="str">
        <f t="shared" si="2"/>
        <v/>
      </c>
    </row>
    <row r="183" spans="1:3" hidden="1">
      <c r="A183" s="22">
        <v>45761</v>
      </c>
      <c r="B183"/>
      <c r="C183" t="str">
        <f t="shared" si="2"/>
        <v/>
      </c>
    </row>
    <row r="184" spans="1:3" hidden="1">
      <c r="A184" s="23">
        <v>45761</v>
      </c>
      <c r="B184"/>
      <c r="C184" t="str">
        <f t="shared" si="2"/>
        <v/>
      </c>
    </row>
    <row r="185" spans="1:3" hidden="1">
      <c r="A185" s="22">
        <v>45761</v>
      </c>
      <c r="B185"/>
      <c r="C185" t="str">
        <f t="shared" si="2"/>
        <v/>
      </c>
    </row>
    <row r="186" spans="1:3" hidden="1">
      <c r="A186" s="23">
        <v>45768</v>
      </c>
      <c r="B186"/>
      <c r="C186" t="str">
        <f t="shared" si="2"/>
        <v/>
      </c>
    </row>
    <row r="187" spans="1:3" hidden="1">
      <c r="A187" s="22">
        <v>45768</v>
      </c>
      <c r="B187"/>
      <c r="C187" t="str">
        <f t="shared" si="2"/>
        <v/>
      </c>
    </row>
    <row r="188" spans="1:3" hidden="1">
      <c r="A188" s="23">
        <v>45768</v>
      </c>
      <c r="B188"/>
      <c r="C188" t="str">
        <f t="shared" si="2"/>
        <v/>
      </c>
    </row>
    <row r="189" spans="1:3" hidden="1">
      <c r="A189" s="22">
        <v>45768</v>
      </c>
      <c r="B189"/>
      <c r="C189" t="str">
        <f t="shared" si="2"/>
        <v/>
      </c>
    </row>
    <row r="190" spans="1:3" hidden="1">
      <c r="A190" s="23">
        <v>45775</v>
      </c>
      <c r="B190"/>
      <c r="C190" t="str">
        <f t="shared" si="2"/>
        <v/>
      </c>
    </row>
    <row r="191" spans="1:3" hidden="1">
      <c r="A191" s="22">
        <v>45775</v>
      </c>
      <c r="B191"/>
      <c r="C191" t="str">
        <f t="shared" si="2"/>
        <v/>
      </c>
    </row>
    <row r="192" spans="1:3" hidden="1">
      <c r="A192" s="23">
        <v>45775</v>
      </c>
      <c r="B192"/>
      <c r="C192" t="str">
        <f t="shared" si="2"/>
        <v/>
      </c>
    </row>
    <row r="193" spans="1:3" hidden="1">
      <c r="A193" s="22">
        <v>45775</v>
      </c>
      <c r="B193"/>
      <c r="C193" t="str">
        <f t="shared" si="2"/>
        <v/>
      </c>
    </row>
    <row r="194" spans="1:3" hidden="1">
      <c r="A194" s="23">
        <v>45782</v>
      </c>
      <c r="B194"/>
      <c r="C194" t="str">
        <f t="shared" si="2"/>
        <v/>
      </c>
    </row>
    <row r="195" spans="1:3" hidden="1">
      <c r="A195" s="22">
        <v>45782</v>
      </c>
      <c r="B195"/>
      <c r="C195" t="str">
        <f t="shared" ref="C195:C201" si="3">IF(COUNT(B195:B197)&lt;3,"",AVERAGE(B195:B197))</f>
        <v/>
      </c>
    </row>
    <row r="196" spans="1:3" hidden="1">
      <c r="A196" s="23">
        <v>45782</v>
      </c>
      <c r="B196"/>
      <c r="C196" t="str">
        <f t="shared" si="3"/>
        <v/>
      </c>
    </row>
    <row r="197" spans="1:3" hidden="1">
      <c r="A197" s="22">
        <v>45782</v>
      </c>
      <c r="B197"/>
      <c r="C197" t="str">
        <f t="shared" si="3"/>
        <v/>
      </c>
    </row>
    <row r="198" spans="1:3" hidden="1">
      <c r="A198" s="23">
        <v>45789</v>
      </c>
      <c r="B198" s="25">
        <v>6631</v>
      </c>
      <c r="C198" t="str">
        <f t="shared" si="3"/>
        <v/>
      </c>
    </row>
    <row r="199" spans="1:3" hidden="1">
      <c r="A199" s="23">
        <v>45789</v>
      </c>
      <c r="B199"/>
      <c r="C199" t="str">
        <f t="shared" si="3"/>
        <v/>
      </c>
    </row>
    <row r="200" spans="1:3" hidden="1">
      <c r="A200" s="22">
        <v>45789</v>
      </c>
      <c r="B200"/>
      <c r="C200" t="str">
        <f t="shared" si="3"/>
        <v/>
      </c>
    </row>
    <row r="201" spans="1:3" hidden="1">
      <c r="A201" s="23">
        <v>45789</v>
      </c>
      <c r="B201"/>
      <c r="C201" t="str">
        <f t="shared" si="3"/>
        <v/>
      </c>
    </row>
    <row r="202" spans="1:3">
      <c r="A202"/>
      <c r="B202"/>
      <c r="C202"/>
    </row>
  </sheetData>
  <autoFilter ref="A1:C201" xr:uid="{2EDD0916-507D-4C7D-95CA-4DFE9A0B703D}">
    <filterColumn colId="2">
      <customFilters>
        <customFilter operator="notEqual" val=" "/>
      </customFilters>
    </filterColumn>
    <sortState xmlns:xlrd2="http://schemas.microsoft.com/office/spreadsheetml/2017/richdata2" ref="A2:C47">
      <sortCondition ref="A1:A201"/>
    </sortState>
  </autoFilter>
  <sortState xmlns:xlrd2="http://schemas.microsoft.com/office/spreadsheetml/2017/richdata2" ref="A2:B201">
    <sortCondition ref="A2:A201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2888D-C9EA-4A5A-81AE-3667188BA5C0}">
  <dimension ref="A1:P21"/>
  <sheetViews>
    <sheetView workbookViewId="0">
      <selection activeCell="F1" sqref="F1"/>
    </sheetView>
  </sheetViews>
  <sheetFormatPr defaultRowHeight="14.4"/>
  <cols>
    <col min="3" max="3" width="20.21875" customWidth="1"/>
  </cols>
  <sheetData>
    <row r="1" spans="1:16" ht="28.8">
      <c r="A1" s="41" t="s">
        <v>338</v>
      </c>
      <c r="B1" s="42"/>
      <c r="C1" s="42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spans="1:16" ht="21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</row>
    <row r="3" spans="1:16" ht="21">
      <c r="A3" s="39" t="s">
        <v>339</v>
      </c>
      <c r="B3" s="40"/>
      <c r="C3" s="40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</row>
    <row r="4" spans="1:16" ht="21">
      <c r="A4" s="36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</row>
    <row r="5" spans="1:16" ht="21">
      <c r="A5" s="38" t="s">
        <v>340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5"/>
      <c r="O5" s="35"/>
      <c r="P5" s="35"/>
    </row>
    <row r="6" spans="1:16" ht="21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</row>
    <row r="7" spans="1:16" ht="21">
      <c r="A7" s="39" t="s">
        <v>341</v>
      </c>
      <c r="B7" s="40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</row>
    <row r="8" spans="1:16" ht="21">
      <c r="A8" s="36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</row>
    <row r="9" spans="1:16" ht="21">
      <c r="A9" s="38" t="s">
        <v>342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5"/>
      <c r="O9" s="35"/>
      <c r="P9" s="35"/>
    </row>
    <row r="10" spans="1:16" ht="2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</row>
    <row r="11" spans="1:16" ht="21">
      <c r="A11" s="39" t="s">
        <v>343</v>
      </c>
      <c r="B11" s="40"/>
      <c r="C11" s="40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</row>
    <row r="12" spans="1:16" ht="21">
      <c r="A12" s="36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</row>
    <row r="13" spans="1:16" ht="21">
      <c r="A13" s="38" t="s">
        <v>344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5"/>
      <c r="M13" s="35"/>
      <c r="N13" s="35"/>
      <c r="O13" s="35"/>
      <c r="P13" s="35"/>
    </row>
    <row r="14" spans="1:16" ht="21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</row>
    <row r="15" spans="1:16" ht="21">
      <c r="A15" s="39" t="s">
        <v>345</v>
      </c>
      <c r="B15" s="40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</row>
    <row r="16" spans="1:16" ht="21">
      <c r="A16" s="36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</row>
    <row r="17" spans="1:16" ht="21">
      <c r="A17" s="38" t="s">
        <v>346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</row>
    <row r="18" spans="1:16" ht="21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</row>
    <row r="19" spans="1:16" ht="21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</row>
    <row r="20" spans="1:16" ht="21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</row>
    <row r="21" spans="1:16" ht="2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9D596E-578D-4FD8-9997-5EBE12D4AD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Engagement_Clean1 (2)</vt:lpstr>
      <vt:lpstr>Posts_clean (2)</vt:lpstr>
      <vt:lpstr>Campaign_clean</vt:lpstr>
      <vt:lpstr>Engagement_Clean1</vt:lpstr>
      <vt:lpstr>Ad Spend vs Follower Growth</vt:lpstr>
      <vt:lpstr>weekly follower growth</vt:lpstr>
      <vt:lpstr>Peak Week of Follower Gain</vt:lpstr>
      <vt:lpstr>Moving_Avg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Laxmi</dc:creator>
  <cp:lastModifiedBy>Laxmi</cp:lastModifiedBy>
  <dcterms:created xsi:type="dcterms:W3CDTF">2026-05-07T18:00:37Z</dcterms:created>
  <dcterms:modified xsi:type="dcterms:W3CDTF">2026-05-21T04:23:50Z</dcterms:modified>
</cp:coreProperties>
</file>